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universitysystemnh-my.sharepoint.com/personal/and1038_usnh_edu/Documents/GreenManureProject/Expt2/Expt2_data/"/>
    </mc:Choice>
  </mc:AlternateContent>
  <xr:revisionPtr revIDLastSave="13" documentId="8_{00B7E3A7-210E-EF4A-9D6D-FC10655058B8}" xr6:coauthVersionLast="47" xr6:coauthVersionMax="47" xr10:uidLastSave="{D01DA514-7A2B-E842-A147-292AF6036521}"/>
  <bookViews>
    <workbookView xWindow="-21600" yWindow="0" windowWidth="21600" windowHeight="16200" activeTab="4" xr2:uid="{777B073C-0B7E-47D0-9F63-849BBEC35116}"/>
  </bookViews>
  <sheets>
    <sheet name="Export" sheetId="1" r:id="rId1"/>
    <sheet name="calculate ug" sheetId="2" r:id="rId2"/>
    <sheet name="QC" sheetId="4" r:id="rId3"/>
    <sheet name="summary" sheetId="5" r:id="rId4"/>
    <sheet name="CN_applied" sheetId="6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G2" i="6" l="1"/>
  <c r="I2" i="6"/>
  <c r="D2" i="6"/>
  <c r="F34" i="6"/>
  <c r="E34" i="6"/>
  <c r="K25" i="6"/>
  <c r="K23" i="6"/>
  <c r="I3" i="6"/>
  <c r="I4" i="6"/>
  <c r="I5" i="6"/>
  <c r="I6" i="6"/>
  <c r="I7" i="6"/>
  <c r="I8" i="6"/>
  <c r="I9" i="6"/>
  <c r="I10" i="6"/>
  <c r="I11" i="6"/>
  <c r="I12" i="6"/>
  <c r="I13" i="6"/>
  <c r="I14" i="6"/>
  <c r="I15" i="6"/>
  <c r="I16" i="6"/>
  <c r="I17" i="6"/>
  <c r="I18" i="6"/>
  <c r="I19" i="6"/>
  <c r="I20" i="6"/>
  <c r="I21" i="6"/>
  <c r="I22" i="6"/>
  <c r="I23" i="6"/>
  <c r="I24" i="6"/>
  <c r="I25" i="6"/>
  <c r="I26" i="6"/>
  <c r="I27" i="6"/>
  <c r="I28" i="6"/>
  <c r="I29" i="6"/>
  <c r="I30" i="6"/>
  <c r="I31" i="6"/>
  <c r="H3" i="6"/>
  <c r="H4" i="6"/>
  <c r="H5" i="6"/>
  <c r="H6" i="6"/>
  <c r="H7" i="6"/>
  <c r="H8" i="6"/>
  <c r="H9" i="6"/>
  <c r="H10" i="6"/>
  <c r="H11" i="6"/>
  <c r="H12" i="6"/>
  <c r="H13" i="6"/>
  <c r="H14" i="6"/>
  <c r="H15" i="6"/>
  <c r="H16" i="6"/>
  <c r="H17" i="6"/>
  <c r="H18" i="6"/>
  <c r="H19" i="6"/>
  <c r="H20" i="6"/>
  <c r="H21" i="6"/>
  <c r="H22" i="6"/>
  <c r="H23" i="6"/>
  <c r="H24" i="6"/>
  <c r="H25" i="6"/>
  <c r="H26" i="6"/>
  <c r="H27" i="6"/>
  <c r="H28" i="6"/>
  <c r="H29" i="6"/>
  <c r="H30" i="6"/>
  <c r="H31" i="6"/>
  <c r="H2" i="6"/>
  <c r="G3" i="6"/>
  <c r="G4" i="6"/>
  <c r="G5" i="6"/>
  <c r="G6" i="6"/>
  <c r="G7" i="6"/>
  <c r="G8" i="6"/>
  <c r="G9" i="6"/>
  <c r="G10" i="6"/>
  <c r="G11" i="6"/>
  <c r="G12" i="6"/>
  <c r="G13" i="6"/>
  <c r="G14" i="6"/>
  <c r="G15" i="6"/>
  <c r="G16" i="6"/>
  <c r="G17" i="6"/>
  <c r="G18" i="6"/>
  <c r="G19" i="6"/>
  <c r="G20" i="6"/>
  <c r="G21" i="6"/>
  <c r="G22" i="6"/>
  <c r="G23" i="6"/>
  <c r="G24" i="6"/>
  <c r="G25" i="6"/>
  <c r="G26" i="6"/>
  <c r="G27" i="6"/>
  <c r="G28" i="6"/>
  <c r="G29" i="6"/>
  <c r="G30" i="6"/>
  <c r="G31" i="6"/>
  <c r="D3" i="6"/>
  <c r="D4" i="6"/>
  <c r="D5" i="6"/>
  <c r="D6" i="6"/>
  <c r="D7" i="6"/>
  <c r="D8" i="6"/>
  <c r="D9" i="6"/>
  <c r="D10" i="6"/>
  <c r="D11" i="6"/>
  <c r="D12" i="6"/>
  <c r="D13" i="6"/>
  <c r="D14" i="6"/>
  <c r="D15" i="6"/>
  <c r="D16" i="6"/>
  <c r="D17" i="6"/>
  <c r="D18" i="6"/>
  <c r="D19" i="6"/>
  <c r="D20" i="6"/>
  <c r="D21" i="6"/>
  <c r="D22" i="6"/>
  <c r="D23" i="6"/>
  <c r="D24" i="6"/>
  <c r="D25" i="6"/>
  <c r="D26" i="6"/>
  <c r="D27" i="6"/>
  <c r="D28" i="6"/>
  <c r="D29" i="6"/>
  <c r="D30" i="6"/>
  <c r="D31" i="6"/>
  <c r="F4" i="5" l="1"/>
  <c r="F5" i="5"/>
  <c r="F6" i="5"/>
  <c r="F7" i="5"/>
  <c r="F8" i="5"/>
  <c r="F9" i="5"/>
  <c r="F10" i="5"/>
  <c r="F11" i="5"/>
  <c r="F12" i="5"/>
  <c r="F13" i="5"/>
  <c r="F14" i="5"/>
  <c r="F15" i="5"/>
  <c r="F16" i="5"/>
  <c r="F17" i="5"/>
  <c r="F18" i="5"/>
  <c r="F19" i="5"/>
  <c r="F20" i="5"/>
  <c r="F21" i="5"/>
  <c r="F22" i="5"/>
  <c r="F23" i="5"/>
  <c r="F24" i="5"/>
  <c r="F25" i="5"/>
  <c r="F26" i="5"/>
  <c r="F27" i="5"/>
  <c r="F28" i="5"/>
  <c r="F29" i="5"/>
  <c r="F30" i="5"/>
  <c r="F31" i="5"/>
  <c r="F32" i="5"/>
  <c r="F3" i="5"/>
  <c r="G33" i="2"/>
  <c r="H33" i="2"/>
  <c r="G34" i="2"/>
  <c r="H34" i="2"/>
  <c r="G35" i="2"/>
  <c r="H35" i="2"/>
  <c r="G36" i="2"/>
  <c r="H36" i="2"/>
  <c r="G37" i="2"/>
  <c r="H37" i="2"/>
  <c r="G38" i="2"/>
  <c r="H38" i="2"/>
  <c r="G39" i="2"/>
  <c r="H39" i="2"/>
  <c r="G40" i="2"/>
  <c r="H40" i="2"/>
  <c r="G41" i="2"/>
  <c r="H41" i="2"/>
  <c r="G42" i="2"/>
  <c r="H42" i="2"/>
  <c r="G43" i="2"/>
  <c r="H43" i="2"/>
  <c r="G44" i="2"/>
  <c r="H44" i="2"/>
  <c r="G45" i="2"/>
  <c r="H45" i="2"/>
  <c r="G46" i="2"/>
  <c r="H46" i="2"/>
  <c r="G47" i="2"/>
  <c r="H47" i="2"/>
  <c r="G48" i="2"/>
  <c r="H48" i="2"/>
  <c r="G49" i="2"/>
  <c r="H49" i="2"/>
  <c r="G50" i="2"/>
  <c r="H50" i="2"/>
  <c r="G51" i="2"/>
  <c r="H51" i="2"/>
  <c r="G52" i="2"/>
  <c r="H52" i="2"/>
  <c r="G53" i="2"/>
  <c r="H53" i="2"/>
  <c r="G54" i="2"/>
  <c r="H54" i="2"/>
  <c r="G55" i="2"/>
  <c r="H55" i="2"/>
  <c r="G56" i="2"/>
  <c r="H56" i="2"/>
  <c r="G57" i="2"/>
  <c r="H57" i="2"/>
  <c r="G58" i="2"/>
  <c r="H58" i="2"/>
  <c r="G59" i="2"/>
  <c r="H59" i="2"/>
  <c r="G60" i="2"/>
  <c r="H60" i="2"/>
  <c r="H3" i="2"/>
  <c r="H4" i="2"/>
  <c r="H5" i="2"/>
  <c r="H6" i="2"/>
  <c r="H7" i="2"/>
  <c r="H8" i="2"/>
  <c r="H9" i="2"/>
  <c r="H10" i="2"/>
  <c r="H11" i="2"/>
  <c r="H12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6" i="2"/>
  <c r="H27" i="2"/>
  <c r="H28" i="2"/>
  <c r="H29" i="2"/>
  <c r="H30" i="2"/>
  <c r="H31" i="2"/>
  <c r="H32" i="2"/>
  <c r="H2" i="2"/>
  <c r="G22" i="4"/>
  <c r="H22" i="4"/>
  <c r="G23" i="4"/>
  <c r="H23" i="4"/>
  <c r="G24" i="4"/>
  <c r="H24" i="4"/>
  <c r="G25" i="4"/>
  <c r="H25" i="4"/>
  <c r="G26" i="4"/>
  <c r="H26" i="4"/>
  <c r="G27" i="4"/>
  <c r="H27" i="4"/>
  <c r="G28" i="4"/>
  <c r="H28" i="4"/>
  <c r="G29" i="4"/>
  <c r="H29" i="4"/>
  <c r="G30" i="4"/>
  <c r="H30" i="4"/>
  <c r="G31" i="4"/>
  <c r="H31" i="4"/>
  <c r="G32" i="4"/>
  <c r="H32" i="4"/>
  <c r="G33" i="4"/>
  <c r="H33" i="4"/>
  <c r="G34" i="4"/>
  <c r="H34" i="4"/>
  <c r="G35" i="4"/>
  <c r="H35" i="4"/>
  <c r="G36" i="4"/>
  <c r="H36" i="4"/>
  <c r="H21" i="4"/>
  <c r="G21" i="4"/>
  <c r="H13" i="4"/>
  <c r="H14" i="4"/>
  <c r="H15" i="4"/>
  <c r="H16" i="4"/>
  <c r="H12" i="4"/>
  <c r="G12" i="4"/>
  <c r="G13" i="4"/>
  <c r="G14" i="4"/>
  <c r="G15" i="4"/>
  <c r="G16" i="4"/>
  <c r="H7" i="4" l="1"/>
  <c r="G7" i="4"/>
  <c r="H3" i="4"/>
  <c r="G3" i="4"/>
  <c r="G3" i="2" l="1"/>
  <c r="G4" i="2"/>
  <c r="G5" i="2"/>
  <c r="G6" i="2"/>
  <c r="G7" i="2"/>
  <c r="G8" i="2"/>
  <c r="G9" i="2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G27" i="2"/>
  <c r="G28" i="2"/>
  <c r="G29" i="2"/>
  <c r="G30" i="2"/>
  <c r="G31" i="2"/>
  <c r="G32" i="2"/>
  <c r="G2" i="2"/>
</calcChain>
</file>

<file path=xl/sharedStrings.xml><?xml version="1.0" encoding="utf-8"?>
<sst xmlns="http://schemas.openxmlformats.org/spreadsheetml/2006/main" count="446" uniqueCount="155">
  <si>
    <t>Weight  [mg]</t>
  </si>
  <si>
    <t>Name</t>
  </si>
  <si>
    <t>Method</t>
  </si>
  <si>
    <t>N  Area</t>
  </si>
  <si>
    <t>C  Area</t>
  </si>
  <si>
    <t>N  [%]</t>
  </si>
  <si>
    <t>C  [%]</t>
  </si>
  <si>
    <t>C/N  ratio</t>
  </si>
  <si>
    <t>Prot.  Factor</t>
  </si>
  <si>
    <t>N  Factor</t>
  </si>
  <si>
    <t>C  Factor</t>
  </si>
  <si>
    <t>N  Blank</t>
  </si>
  <si>
    <t>C  Blank</t>
  </si>
  <si>
    <t>Prot.  [%]</t>
  </si>
  <si>
    <t>Memo</t>
  </si>
  <si>
    <t>Info</t>
  </si>
  <si>
    <t>Date       Time</t>
  </si>
  <si>
    <t>ug C</t>
  </si>
  <si>
    <t>ug N</t>
  </si>
  <si>
    <t>Project:</t>
  </si>
  <si>
    <t>Date:</t>
  </si>
  <si>
    <t>User:</t>
  </si>
  <si>
    <t>(full name)</t>
  </si>
  <si>
    <t>Run file:</t>
  </si>
  <si>
    <t>Whole or 1/2 filter:</t>
  </si>
  <si>
    <t>Check Stds</t>
  </si>
  <si>
    <t>ref values</t>
  </si>
  <si>
    <t>%Rec</t>
  </si>
  <si>
    <t>Sample ID</t>
  </si>
  <si>
    <t>%C</t>
  </si>
  <si>
    <t>%N</t>
  </si>
  <si>
    <t>NIST Soil</t>
  </si>
  <si>
    <t>NIST Pine</t>
  </si>
  <si>
    <t>EA Loamy Soil</t>
  </si>
  <si>
    <t>Acetanilide</t>
  </si>
  <si>
    <t xml:space="preserve"> </t>
  </si>
  <si>
    <t>Moisture  [%]</t>
  </si>
  <si>
    <t>blank-</t>
  </si>
  <si>
    <t>Blank with O2</t>
  </si>
  <si>
    <t>2025-03-19</t>
  </si>
  <si>
    <t>16:23:41</t>
  </si>
  <si>
    <t>16:30:05</t>
  </si>
  <si>
    <t>16:36:13</t>
  </si>
  <si>
    <t>Blank without O2</t>
  </si>
  <si>
    <t>16:42:51</t>
  </si>
  <si>
    <t>16:48:33</t>
  </si>
  <si>
    <t>acetanilide</t>
  </si>
  <si>
    <t>2mg Standard</t>
  </si>
  <si>
    <t>16:55:26</t>
  </si>
  <si>
    <t>17:02:28</t>
  </si>
  <si>
    <t>17:09:26</t>
  </si>
  <si>
    <t>17:16:28</t>
  </si>
  <si>
    <t>17:23:28</t>
  </si>
  <si>
    <t>loam</t>
  </si>
  <si>
    <t>Soil</t>
  </si>
  <si>
    <t>17:31:22</t>
  </si>
  <si>
    <t>Plant</t>
  </si>
  <si>
    <t>17:39:38</t>
  </si>
  <si>
    <t>Nu</t>
  </si>
  <si>
    <t>17:47:37</t>
  </si>
  <si>
    <t>17:55:38</t>
  </si>
  <si>
    <t>18:03:38</t>
  </si>
  <si>
    <t>18:11:49</t>
  </si>
  <si>
    <t>18:18:54</t>
  </si>
  <si>
    <t>18:26:54</t>
  </si>
  <si>
    <t>18:34:49</t>
  </si>
  <si>
    <t>18:42:53</t>
  </si>
  <si>
    <t>18:50:48</t>
  </si>
  <si>
    <t>18:58:49</t>
  </si>
  <si>
    <t>19:06:48</t>
  </si>
  <si>
    <t>19:12:29</t>
  </si>
  <si>
    <t>19:19:30</t>
  </si>
  <si>
    <t>19:27:20</t>
  </si>
  <si>
    <t>19:35:12</t>
  </si>
  <si>
    <t>19:43:15</t>
  </si>
  <si>
    <t>19:51:15</t>
  </si>
  <si>
    <t>19:59:13</t>
  </si>
  <si>
    <t>20:07:04</t>
  </si>
  <si>
    <t>20:14:59</t>
  </si>
  <si>
    <t>20:22:50</t>
  </si>
  <si>
    <t>20:30:48</t>
  </si>
  <si>
    <t>20:38:39</t>
  </si>
  <si>
    <t>20:46:30</t>
  </si>
  <si>
    <t>20:54:25</t>
  </si>
  <si>
    <t>21:02:14</t>
  </si>
  <si>
    <t>21:08:22</t>
  </si>
  <si>
    <t>21:15:22</t>
  </si>
  <si>
    <t>21:23:17</t>
  </si>
  <si>
    <t>21:31:12</t>
  </si>
  <si>
    <t>21:38:58</t>
  </si>
  <si>
    <t>21:46:49</t>
  </si>
  <si>
    <t>21:54:39</t>
  </si>
  <si>
    <t>22:02:32</t>
  </si>
  <si>
    <t>22:10:26</t>
  </si>
  <si>
    <t>22:18:20</t>
  </si>
  <si>
    <t>22:26:09</t>
  </si>
  <si>
    <t>22:34:01</t>
  </si>
  <si>
    <t>22:41:57</t>
  </si>
  <si>
    <t>22:49:51</t>
  </si>
  <si>
    <t>22:57:46</t>
  </si>
  <si>
    <t>23:03:45</t>
  </si>
  <si>
    <t>23:11:33</t>
  </si>
  <si>
    <t>23:18:38</t>
  </si>
  <si>
    <t>23:25:44</t>
  </si>
  <si>
    <t>23:32:56</t>
  </si>
  <si>
    <t>23:39:55</t>
  </si>
  <si>
    <t xml:space="preserve">CN </t>
  </si>
  <si>
    <t>Daigle &amp; Biofine</t>
  </si>
  <si>
    <t>Jody Potter</t>
  </si>
  <si>
    <t>250319CN</t>
  </si>
  <si>
    <t>Biofine S1-1</t>
  </si>
  <si>
    <t>Biofine S1-2</t>
  </si>
  <si>
    <t>Biofine S1-3</t>
  </si>
  <si>
    <t>Biofine S2-1</t>
  </si>
  <si>
    <t>Biofine S2-2</t>
  </si>
  <si>
    <t>Biofine S2-3</t>
  </si>
  <si>
    <t>TF-2-3</t>
  </si>
  <si>
    <t>ODR-2-2</t>
  </si>
  <si>
    <t>ODR-3-4</t>
  </si>
  <si>
    <t>MP-1-1</t>
  </si>
  <si>
    <t>MP-1-4</t>
  </si>
  <si>
    <t>MP-1-5</t>
  </si>
  <si>
    <t>Loam</t>
  </si>
  <si>
    <t>ODR-2-1</t>
  </si>
  <si>
    <t>ODR-2-3</t>
  </si>
  <si>
    <t>ODR-2-4</t>
  </si>
  <si>
    <t>ODR-2-5</t>
  </si>
  <si>
    <t>ODR-3-1</t>
  </si>
  <si>
    <t>ODR-3-2</t>
  </si>
  <si>
    <t>ODR-3-3</t>
  </si>
  <si>
    <t>ODR-3-5</t>
  </si>
  <si>
    <t>TF-2-1</t>
  </si>
  <si>
    <t>TF-2-2</t>
  </si>
  <si>
    <t>TF-2-4</t>
  </si>
  <si>
    <t>TF-2-5</t>
  </si>
  <si>
    <t>TF-1-1</t>
  </si>
  <si>
    <t>TF-1-2</t>
  </si>
  <si>
    <t>TF-1-3</t>
  </si>
  <si>
    <t>TF-1-4</t>
  </si>
  <si>
    <t>TF-1-5</t>
  </si>
  <si>
    <t>UM-1-1</t>
  </si>
  <si>
    <t>UM-1-2</t>
  </si>
  <si>
    <t>UM-1-3</t>
  </si>
  <si>
    <t>UM-1-4</t>
  </si>
  <si>
    <t>UM-1-5</t>
  </si>
  <si>
    <t>MP-1-2</t>
  </si>
  <si>
    <t>MP-1-3</t>
  </si>
  <si>
    <t>C:N</t>
  </si>
  <si>
    <t>sample</t>
  </si>
  <si>
    <t>wet_mass_addded</t>
  </si>
  <si>
    <t>wet_dry_conversion</t>
  </si>
  <si>
    <t>dry_mass_added</t>
  </si>
  <si>
    <t>C_sample</t>
  </si>
  <si>
    <t>N_sample</t>
  </si>
  <si>
    <t>CN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</si>
</sst>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name val="Arial"/>
      <family val="2"/>
    </font>
    <font>
      <b/>
      <sz val="12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5" tint="0.79998168889431442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</borders>
  <cellStyleXfs count="2">
    <xf numFmtId="0" fontId="0" fillId="0" borderId="0"/>
    <xf numFmtId="9" fontId="3" fillId="0" borderId="0" applyFont="0" applyFill="0" applyBorder="0" applyAlignment="0" applyProtection="0"/>
  </cellStyleXfs>
  <cellXfs count="79">
    <xf numFmtId="0" fontId="0" fillId="0" borderId="0" xfId="0"/>
    <xf numFmtId="14" fontId="0" fillId="0" borderId="0" xfId="0" applyNumberFormat="1"/>
    <xf numFmtId="0" fontId="1" fillId="2" borderId="0" xfId="0" applyFont="1" applyFill="1"/>
    <xf numFmtId="0" fontId="0" fillId="2" borderId="0" xfId="0" applyFill="1"/>
    <xf numFmtId="0" fontId="0" fillId="2" borderId="1" xfId="0" applyFill="1" applyBorder="1"/>
    <xf numFmtId="0" fontId="0" fillId="2" borderId="2" xfId="0" applyFill="1" applyBorder="1"/>
    <xf numFmtId="10" fontId="1" fillId="2" borderId="1" xfId="0" applyNumberFormat="1" applyFont="1" applyFill="1" applyBorder="1" applyAlignment="1">
      <alignment horizontal="center"/>
    </xf>
    <xf numFmtId="10" fontId="1" fillId="2" borderId="2" xfId="0" applyNumberFormat="1" applyFont="1" applyFill="1" applyBorder="1" applyAlignment="1">
      <alignment horizontal="center"/>
    </xf>
    <xf numFmtId="0" fontId="0" fillId="2" borderId="3" xfId="0" applyFill="1" applyBorder="1" applyAlignment="1">
      <alignment horizontal="center" vertical="center"/>
    </xf>
    <xf numFmtId="10" fontId="0" fillId="2" borderId="4" xfId="0" applyNumberFormat="1" applyFill="1" applyBorder="1" applyAlignment="1">
      <alignment horizontal="center" vertical="center"/>
    </xf>
    <xf numFmtId="10" fontId="0" fillId="2" borderId="5" xfId="0" applyNumberForma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2" borderId="6" xfId="0" applyFill="1" applyBorder="1"/>
    <xf numFmtId="0" fontId="0" fillId="2" borderId="7" xfId="0" applyFill="1" applyBorder="1"/>
    <xf numFmtId="0" fontId="0" fillId="2" borderId="8" xfId="0" applyFill="1" applyBorder="1"/>
    <xf numFmtId="10" fontId="0" fillId="2" borderId="7" xfId="0" applyNumberFormat="1" applyFill="1" applyBorder="1"/>
    <xf numFmtId="10" fontId="0" fillId="2" borderId="8" xfId="0" applyNumberFormat="1" applyFill="1" applyBorder="1"/>
    <xf numFmtId="0" fontId="0" fillId="3" borderId="6" xfId="0" applyFill="1" applyBorder="1"/>
    <xf numFmtId="0" fontId="0" fillId="3" borderId="2" xfId="0" applyFill="1" applyBorder="1"/>
    <xf numFmtId="10" fontId="0" fillId="3" borderId="1" xfId="0" applyNumberFormat="1" applyFill="1" applyBorder="1"/>
    <xf numFmtId="10" fontId="0" fillId="3" borderId="2" xfId="0" applyNumberFormat="1" applyFill="1" applyBorder="1"/>
    <xf numFmtId="0" fontId="0" fillId="3" borderId="8" xfId="0" applyFill="1" applyBorder="1"/>
    <xf numFmtId="0" fontId="0" fillId="3" borderId="7" xfId="0" applyFill="1" applyBorder="1"/>
    <xf numFmtId="0" fontId="0" fillId="3" borderId="5" xfId="0" applyFill="1" applyBorder="1"/>
    <xf numFmtId="0" fontId="0" fillId="3" borderId="4" xfId="0" applyFill="1" applyBorder="1"/>
    <xf numFmtId="0" fontId="0" fillId="4" borderId="6" xfId="0" applyFill="1" applyBorder="1"/>
    <xf numFmtId="0" fontId="0" fillId="4" borderId="2" xfId="0" applyFill="1" applyBorder="1"/>
    <xf numFmtId="10" fontId="0" fillId="4" borderId="1" xfId="0" applyNumberFormat="1" applyFill="1" applyBorder="1"/>
    <xf numFmtId="10" fontId="0" fillId="4" borderId="2" xfId="0" applyNumberFormat="1" applyFill="1" applyBorder="1"/>
    <xf numFmtId="0" fontId="0" fillId="4" borderId="8" xfId="0" applyFill="1" applyBorder="1"/>
    <xf numFmtId="0" fontId="0" fillId="4" borderId="7" xfId="0" applyFill="1" applyBorder="1"/>
    <xf numFmtId="10" fontId="0" fillId="4" borderId="7" xfId="0" applyNumberFormat="1" applyFill="1" applyBorder="1"/>
    <xf numFmtId="10" fontId="0" fillId="4" borderId="8" xfId="0" applyNumberFormat="1" applyFill="1" applyBorder="1"/>
    <xf numFmtId="0" fontId="0" fillId="4" borderId="5" xfId="0" applyFill="1" applyBorder="1"/>
    <xf numFmtId="0" fontId="0" fillId="4" borderId="4" xfId="0" applyFill="1" applyBorder="1"/>
    <xf numFmtId="10" fontId="0" fillId="4" borderId="4" xfId="0" applyNumberFormat="1" applyFill="1" applyBorder="1"/>
    <xf numFmtId="10" fontId="0" fillId="4" borderId="5" xfId="0" applyNumberFormat="1" applyFill="1" applyBorder="1"/>
    <xf numFmtId="10" fontId="1" fillId="5" borderId="2" xfId="0" applyNumberFormat="1" applyFont="1" applyFill="1" applyBorder="1" applyAlignment="1">
      <alignment horizontal="center"/>
    </xf>
    <xf numFmtId="0" fontId="0" fillId="4" borderId="0" xfId="0" applyFill="1"/>
    <xf numFmtId="0" fontId="0" fillId="4" borderId="3" xfId="0" applyFill="1" applyBorder="1"/>
    <xf numFmtId="0" fontId="0" fillId="5" borderId="0" xfId="0" applyFill="1"/>
    <xf numFmtId="0" fontId="1" fillId="5" borderId="1" xfId="0" applyFont="1" applyFill="1" applyBorder="1"/>
    <xf numFmtId="0" fontId="0" fillId="5" borderId="9" xfId="0" applyFill="1" applyBorder="1"/>
    <xf numFmtId="10" fontId="1" fillId="5" borderId="9" xfId="0" applyNumberFormat="1" applyFont="1" applyFill="1" applyBorder="1" applyAlignment="1">
      <alignment horizontal="center"/>
    </xf>
    <xf numFmtId="0" fontId="0" fillId="5" borderId="7" xfId="0" applyFill="1" applyBorder="1"/>
    <xf numFmtId="0" fontId="0" fillId="5" borderId="8" xfId="0" applyFill="1" applyBorder="1"/>
    <xf numFmtId="0" fontId="0" fillId="5" borderId="4" xfId="0" applyFill="1" applyBorder="1"/>
    <xf numFmtId="0" fontId="0" fillId="5" borderId="3" xfId="0" applyFill="1" applyBorder="1"/>
    <xf numFmtId="0" fontId="0" fillId="0" borderId="0" xfId="0" applyAlignment="1">
      <alignment horizontal="center"/>
    </xf>
    <xf numFmtId="10" fontId="0" fillId="0" borderId="0" xfId="0" applyNumberFormat="1"/>
    <xf numFmtId="2" fontId="0" fillId="4" borderId="1" xfId="0" applyNumberFormat="1" applyFill="1" applyBorder="1"/>
    <xf numFmtId="2" fontId="0" fillId="4" borderId="9" xfId="0" applyNumberFormat="1" applyFill="1" applyBorder="1"/>
    <xf numFmtId="9" fontId="0" fillId="5" borderId="0" xfId="1" applyFont="1" applyFill="1"/>
    <xf numFmtId="9" fontId="0" fillId="5" borderId="8" xfId="1" applyFont="1" applyFill="1" applyBorder="1"/>
    <xf numFmtId="9" fontId="0" fillId="5" borderId="3" xfId="1" applyFont="1" applyFill="1" applyBorder="1"/>
    <xf numFmtId="9" fontId="0" fillId="5" borderId="5" xfId="1" applyFont="1" applyFill="1" applyBorder="1"/>
    <xf numFmtId="2" fontId="0" fillId="0" borderId="0" xfId="0" applyNumberFormat="1"/>
    <xf numFmtId="2" fontId="0" fillId="4" borderId="2" xfId="0" applyNumberFormat="1" applyFill="1" applyBorder="1"/>
    <xf numFmtId="2" fontId="0" fillId="4" borderId="7" xfId="0" applyNumberFormat="1" applyFill="1" applyBorder="1"/>
    <xf numFmtId="2" fontId="0" fillId="4" borderId="8" xfId="0" applyNumberFormat="1" applyFill="1" applyBorder="1"/>
    <xf numFmtId="2" fontId="0" fillId="4" borderId="4" xfId="0" applyNumberFormat="1" applyFill="1" applyBorder="1"/>
    <xf numFmtId="2" fontId="0" fillId="4" borderId="5" xfId="0" applyNumberFormat="1" applyFill="1" applyBorder="1"/>
    <xf numFmtId="2" fontId="0" fillId="5" borderId="0" xfId="0" applyNumberFormat="1" applyFill="1"/>
    <xf numFmtId="2" fontId="0" fillId="5" borderId="3" xfId="0" applyNumberFormat="1" applyFill="1" applyBorder="1"/>
    <xf numFmtId="2" fontId="0" fillId="3" borderId="1" xfId="0" applyNumberFormat="1" applyFill="1" applyBorder="1"/>
    <xf numFmtId="2" fontId="0" fillId="3" borderId="2" xfId="0" applyNumberFormat="1" applyFill="1" applyBorder="1"/>
    <xf numFmtId="2" fontId="0" fillId="2" borderId="7" xfId="0" applyNumberFormat="1" applyFill="1" applyBorder="1"/>
    <xf numFmtId="2" fontId="0" fillId="2" borderId="8" xfId="0" applyNumberFormat="1" applyFill="1" applyBorder="1"/>
    <xf numFmtId="2" fontId="0" fillId="3" borderId="7" xfId="0" applyNumberFormat="1" applyFill="1" applyBorder="1"/>
    <xf numFmtId="2" fontId="0" fillId="3" borderId="8" xfId="0" applyNumberFormat="1" applyFill="1" applyBorder="1"/>
    <xf numFmtId="2" fontId="0" fillId="3" borderId="4" xfId="0" applyNumberFormat="1" applyFill="1" applyBorder="1"/>
    <xf numFmtId="2" fontId="0" fillId="3" borderId="5" xfId="0" applyNumberFormat="1" applyFill="1" applyBorder="1"/>
    <xf numFmtId="0" fontId="4" fillId="0" borderId="0" xfId="0" applyFont="1"/>
    <xf numFmtId="0" fontId="5" fillId="0" borderId="0" xfId="0" applyFont="1"/>
    <xf numFmtId="0" fontId="1" fillId="0" borderId="0" xfId="0" applyFont="1"/>
    <xf numFmtId="10" fontId="1" fillId="2" borderId="1" xfId="0" applyNumberFormat="1" applyFont="1" applyFill="1" applyBorder="1" applyAlignment="1">
      <alignment horizontal="center"/>
    </xf>
    <xf numFmtId="10" fontId="1" fillId="2" borderId="2" xfId="0" applyNumberFormat="1" applyFont="1" applyFill="1" applyBorder="1" applyAlignment="1">
      <alignment horizontal="center"/>
    </xf>
    <xf numFmtId="10" fontId="1" fillId="5" borderId="9" xfId="0" applyNumberFormat="1" applyFont="1" applyFill="1" applyBorder="1" applyAlignment="1">
      <alignment horizontal="center"/>
    </xf>
    <xf numFmtId="0" fontId="2" fillId="0" borderId="0" xfId="0" applyFont="1" applyAlignment="1">
      <alignment horizont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B82EEB-8600-4494-8472-E6C4E64919DF}">
  <dimension ref="A1:S66"/>
  <sheetViews>
    <sheetView workbookViewId="0">
      <selection activeCell="G4" sqref="G4"/>
    </sheetView>
  </sheetViews>
  <sheetFormatPr baseColWidth="10" defaultColWidth="8.83203125" defaultRowHeight="15" x14ac:dyDescent="0.2"/>
  <cols>
    <col min="1" max="1" width="18.1640625" bestFit="1" customWidth="1"/>
    <col min="2" max="2" width="15.5" bestFit="1" customWidth="1"/>
  </cols>
  <sheetData>
    <row r="1" spans="1:19" x14ac:dyDescent="0.2">
      <c r="A1" t="s">
        <v>19</v>
      </c>
      <c r="B1" s="72" t="s">
        <v>106</v>
      </c>
    </row>
    <row r="2" spans="1:19" x14ac:dyDescent="0.2">
      <c r="A2" t="s">
        <v>20</v>
      </c>
      <c r="B2" t="s">
        <v>107</v>
      </c>
      <c r="C2" s="1"/>
    </row>
    <row r="3" spans="1:19" x14ac:dyDescent="0.2">
      <c r="A3" t="s">
        <v>21</v>
      </c>
      <c r="B3" s="1">
        <v>45735</v>
      </c>
      <c r="C3" t="s">
        <v>22</v>
      </c>
    </row>
    <row r="4" spans="1:19" x14ac:dyDescent="0.2">
      <c r="A4" t="s">
        <v>23</v>
      </c>
      <c r="B4" t="s">
        <v>108</v>
      </c>
    </row>
    <row r="5" spans="1:19" x14ac:dyDescent="0.2">
      <c r="A5" t="s">
        <v>24</v>
      </c>
      <c r="B5" t="s">
        <v>109</v>
      </c>
    </row>
    <row r="7" spans="1:19" x14ac:dyDescent="0.2">
      <c r="A7" t="s">
        <v>0</v>
      </c>
      <c r="B7" t="s">
        <v>1</v>
      </c>
      <c r="C7" t="s">
        <v>4</v>
      </c>
      <c r="D7" t="s">
        <v>3</v>
      </c>
      <c r="E7" t="s">
        <v>6</v>
      </c>
      <c r="F7" t="s">
        <v>5</v>
      </c>
      <c r="G7" t="s">
        <v>7</v>
      </c>
      <c r="H7" t="s">
        <v>2</v>
      </c>
      <c r="I7" t="s">
        <v>9</v>
      </c>
      <c r="J7" t="s">
        <v>10</v>
      </c>
      <c r="K7" t="s">
        <v>11</v>
      </c>
      <c r="L7" t="s">
        <v>12</v>
      </c>
      <c r="M7" t="s">
        <v>36</v>
      </c>
      <c r="N7" t="s">
        <v>8</v>
      </c>
      <c r="O7" t="s">
        <v>13</v>
      </c>
      <c r="P7" t="s">
        <v>14</v>
      </c>
      <c r="Q7" t="s">
        <v>15</v>
      </c>
      <c r="R7" t="s">
        <v>16</v>
      </c>
    </row>
    <row r="8" spans="1:19" x14ac:dyDescent="0.2">
      <c r="A8">
        <v>1</v>
      </c>
      <c r="B8" t="s">
        <v>37</v>
      </c>
      <c r="C8">
        <v>5285</v>
      </c>
      <c r="D8">
        <v>53755</v>
      </c>
      <c r="E8">
        <v>0</v>
      </c>
      <c r="F8">
        <v>0</v>
      </c>
      <c r="G8">
        <v>0</v>
      </c>
      <c r="H8" t="s">
        <v>38</v>
      </c>
      <c r="I8">
        <v>1</v>
      </c>
      <c r="J8">
        <v>1</v>
      </c>
      <c r="K8">
        <v>53755</v>
      </c>
      <c r="L8">
        <v>5285</v>
      </c>
      <c r="M8">
        <v>0</v>
      </c>
      <c r="N8">
        <v>0</v>
      </c>
      <c r="O8">
        <v>0</v>
      </c>
      <c r="R8" t="s">
        <v>39</v>
      </c>
      <c r="S8" t="s">
        <v>40</v>
      </c>
    </row>
    <row r="9" spans="1:19" x14ac:dyDescent="0.2">
      <c r="A9">
        <v>1</v>
      </c>
      <c r="B9" t="s">
        <v>37</v>
      </c>
      <c r="C9">
        <v>6</v>
      </c>
      <c r="D9">
        <v>57</v>
      </c>
      <c r="E9">
        <v>0</v>
      </c>
      <c r="F9">
        <v>0</v>
      </c>
      <c r="G9">
        <v>0</v>
      </c>
      <c r="H9" t="s">
        <v>38</v>
      </c>
      <c r="I9">
        <v>1</v>
      </c>
      <c r="J9">
        <v>1</v>
      </c>
      <c r="K9">
        <v>57</v>
      </c>
      <c r="L9">
        <v>6</v>
      </c>
      <c r="M9">
        <v>0</v>
      </c>
      <c r="N9">
        <v>0</v>
      </c>
      <c r="O9">
        <v>0</v>
      </c>
      <c r="R9" t="s">
        <v>39</v>
      </c>
      <c r="S9" t="s">
        <v>41</v>
      </c>
    </row>
    <row r="10" spans="1:19" x14ac:dyDescent="0.2">
      <c r="A10">
        <v>1</v>
      </c>
      <c r="B10" t="s">
        <v>37</v>
      </c>
      <c r="C10">
        <v>11</v>
      </c>
      <c r="D10">
        <v>10</v>
      </c>
      <c r="E10">
        <v>0</v>
      </c>
      <c r="F10">
        <v>0</v>
      </c>
      <c r="G10">
        <v>0</v>
      </c>
      <c r="H10" t="s">
        <v>38</v>
      </c>
      <c r="I10">
        <v>1</v>
      </c>
      <c r="J10">
        <v>1</v>
      </c>
      <c r="K10">
        <v>10</v>
      </c>
      <c r="L10">
        <v>11</v>
      </c>
      <c r="M10">
        <v>0</v>
      </c>
      <c r="N10">
        <v>0</v>
      </c>
      <c r="O10">
        <v>0</v>
      </c>
      <c r="R10" t="s">
        <v>39</v>
      </c>
      <c r="S10" t="s">
        <v>42</v>
      </c>
    </row>
    <row r="11" spans="1:19" x14ac:dyDescent="0.2">
      <c r="A11">
        <v>1</v>
      </c>
      <c r="B11" t="s">
        <v>37</v>
      </c>
      <c r="C11">
        <v>36</v>
      </c>
      <c r="D11">
        <v>10</v>
      </c>
      <c r="E11">
        <v>0</v>
      </c>
      <c r="F11">
        <v>0</v>
      </c>
      <c r="G11">
        <v>0</v>
      </c>
      <c r="H11" t="s">
        <v>43</v>
      </c>
      <c r="I11">
        <v>1</v>
      </c>
      <c r="J11">
        <v>1</v>
      </c>
      <c r="K11">
        <v>10</v>
      </c>
      <c r="L11">
        <v>36</v>
      </c>
      <c r="M11">
        <v>0</v>
      </c>
      <c r="N11">
        <v>0</v>
      </c>
      <c r="O11">
        <v>0</v>
      </c>
      <c r="R11" t="s">
        <v>39</v>
      </c>
      <c r="S11" t="s">
        <v>44</v>
      </c>
    </row>
    <row r="12" spans="1:19" x14ac:dyDescent="0.2">
      <c r="A12">
        <v>1</v>
      </c>
      <c r="B12" t="s">
        <v>37</v>
      </c>
      <c r="C12">
        <v>48</v>
      </c>
      <c r="D12">
        <v>1</v>
      </c>
      <c r="E12">
        <v>0</v>
      </c>
      <c r="F12">
        <v>0</v>
      </c>
      <c r="G12">
        <v>0</v>
      </c>
      <c r="H12" t="s">
        <v>43</v>
      </c>
      <c r="I12">
        <v>1</v>
      </c>
      <c r="J12">
        <v>1</v>
      </c>
      <c r="K12">
        <v>1</v>
      </c>
      <c r="L12">
        <v>48</v>
      </c>
      <c r="M12">
        <v>0</v>
      </c>
      <c r="N12">
        <v>0</v>
      </c>
      <c r="O12">
        <v>0</v>
      </c>
      <c r="R12" t="s">
        <v>39</v>
      </c>
      <c r="S12" t="s">
        <v>45</v>
      </c>
    </row>
    <row r="13" spans="1:19" x14ac:dyDescent="0.2">
      <c r="A13">
        <v>2.012</v>
      </c>
      <c r="B13" t="s">
        <v>46</v>
      </c>
      <c r="C13">
        <v>27968</v>
      </c>
      <c r="D13">
        <v>5644</v>
      </c>
      <c r="E13">
        <v>49.29</v>
      </c>
      <c r="F13">
        <v>7.16</v>
      </c>
      <c r="G13">
        <v>6.8876999999999997</v>
      </c>
      <c r="H13" t="s">
        <v>47</v>
      </c>
      <c r="I13">
        <v>1</v>
      </c>
      <c r="J13">
        <v>1</v>
      </c>
      <c r="K13">
        <v>0</v>
      </c>
      <c r="L13">
        <v>0</v>
      </c>
      <c r="M13">
        <v>0</v>
      </c>
      <c r="N13">
        <v>0</v>
      </c>
      <c r="O13">
        <v>0</v>
      </c>
      <c r="R13" t="s">
        <v>39</v>
      </c>
      <c r="S13" t="s">
        <v>48</v>
      </c>
    </row>
    <row r="14" spans="1:19" x14ac:dyDescent="0.2">
      <c r="A14">
        <v>1.972</v>
      </c>
      <c r="B14" t="s">
        <v>46</v>
      </c>
      <c r="C14">
        <v>39476</v>
      </c>
      <c r="D14">
        <v>8019</v>
      </c>
      <c r="E14">
        <v>71.09</v>
      </c>
      <c r="F14">
        <v>10.36</v>
      </c>
      <c r="G14">
        <v>6.8620000000000001</v>
      </c>
      <c r="H14" t="s">
        <v>47</v>
      </c>
      <c r="I14">
        <v>1.0008999999999999</v>
      </c>
      <c r="J14">
        <v>1.0018</v>
      </c>
      <c r="K14">
        <v>0</v>
      </c>
      <c r="L14">
        <v>0</v>
      </c>
      <c r="M14">
        <v>0</v>
      </c>
      <c r="N14">
        <v>0</v>
      </c>
      <c r="O14">
        <v>0</v>
      </c>
      <c r="R14" t="s">
        <v>39</v>
      </c>
      <c r="S14" t="s">
        <v>49</v>
      </c>
    </row>
    <row r="15" spans="1:19" x14ac:dyDescent="0.2">
      <c r="A15">
        <v>2.8109999999999999</v>
      </c>
      <c r="B15" t="s">
        <v>46</v>
      </c>
      <c r="C15">
        <v>55608</v>
      </c>
      <c r="D15">
        <v>11375</v>
      </c>
      <c r="E15">
        <v>71.09</v>
      </c>
      <c r="F15">
        <v>10.36</v>
      </c>
      <c r="G15">
        <v>6.8620000000000001</v>
      </c>
      <c r="H15" t="s">
        <v>47</v>
      </c>
      <c r="I15">
        <v>1.0065999999999999</v>
      </c>
      <c r="J15">
        <v>1.0139</v>
      </c>
      <c r="K15">
        <v>0</v>
      </c>
      <c r="L15">
        <v>0</v>
      </c>
      <c r="M15">
        <v>0</v>
      </c>
      <c r="N15">
        <v>0</v>
      </c>
      <c r="O15">
        <v>0</v>
      </c>
      <c r="R15" t="s">
        <v>39</v>
      </c>
      <c r="S15" t="s">
        <v>50</v>
      </c>
    </row>
    <row r="16" spans="1:19" x14ac:dyDescent="0.2">
      <c r="A16">
        <v>2.081</v>
      </c>
      <c r="B16" t="s">
        <v>46</v>
      </c>
      <c r="C16">
        <v>55653</v>
      </c>
      <c r="D16">
        <v>11369</v>
      </c>
      <c r="E16">
        <v>94.79</v>
      </c>
      <c r="F16">
        <v>13.9</v>
      </c>
      <c r="G16">
        <v>6.8212999999999999</v>
      </c>
      <c r="H16" t="s">
        <v>47</v>
      </c>
      <c r="I16">
        <v>1</v>
      </c>
      <c r="J16">
        <v>1</v>
      </c>
      <c r="K16">
        <v>0</v>
      </c>
      <c r="L16">
        <v>0</v>
      </c>
      <c r="M16">
        <v>0</v>
      </c>
      <c r="N16">
        <v>0</v>
      </c>
      <c r="O16">
        <v>0</v>
      </c>
      <c r="R16" t="s">
        <v>39</v>
      </c>
      <c r="S16" t="s">
        <v>51</v>
      </c>
    </row>
    <row r="17" spans="1:19" x14ac:dyDescent="0.2">
      <c r="A17">
        <v>1.476</v>
      </c>
      <c r="B17" t="s">
        <v>46</v>
      </c>
      <c r="C17">
        <v>29692</v>
      </c>
      <c r="D17">
        <v>6012</v>
      </c>
      <c r="E17">
        <v>71.09</v>
      </c>
      <c r="F17">
        <v>10.36</v>
      </c>
      <c r="G17">
        <v>6.8620000000000001</v>
      </c>
      <c r="H17" t="s">
        <v>47</v>
      </c>
      <c r="I17">
        <v>0.99750000000000005</v>
      </c>
      <c r="J17">
        <v>0.99670000000000003</v>
      </c>
      <c r="K17">
        <v>0</v>
      </c>
      <c r="L17">
        <v>0</v>
      </c>
      <c r="M17">
        <v>0</v>
      </c>
      <c r="N17">
        <v>0</v>
      </c>
      <c r="O17">
        <v>0</v>
      </c>
      <c r="R17" t="s">
        <v>39</v>
      </c>
      <c r="S17" t="s">
        <v>52</v>
      </c>
    </row>
    <row r="18" spans="1:19" x14ac:dyDescent="0.2">
      <c r="A18">
        <v>14.117000000000001</v>
      </c>
      <c r="B18" t="s">
        <v>53</v>
      </c>
      <c r="C18">
        <v>10925</v>
      </c>
      <c r="D18">
        <v>1502</v>
      </c>
      <c r="E18">
        <v>2.74</v>
      </c>
      <c r="F18">
        <v>0.28000000000000003</v>
      </c>
      <c r="G18">
        <v>9.9026999999999994</v>
      </c>
      <c r="H18" t="s">
        <v>54</v>
      </c>
      <c r="I18">
        <v>1</v>
      </c>
      <c r="J18">
        <v>1</v>
      </c>
      <c r="K18">
        <v>0</v>
      </c>
      <c r="L18">
        <v>0</v>
      </c>
      <c r="M18">
        <v>0</v>
      </c>
      <c r="N18">
        <v>0</v>
      </c>
      <c r="O18">
        <v>0</v>
      </c>
      <c r="R18" t="s">
        <v>39</v>
      </c>
      <c r="S18" t="s">
        <v>55</v>
      </c>
    </row>
    <row r="19" spans="1:19" x14ac:dyDescent="0.2">
      <c r="A19">
        <v>2.0190000000000001</v>
      </c>
      <c r="B19" t="s">
        <v>110</v>
      </c>
      <c r="C19">
        <v>34303</v>
      </c>
      <c r="D19">
        <v>215</v>
      </c>
      <c r="E19">
        <v>60.48</v>
      </c>
      <c r="F19">
        <v>0.32</v>
      </c>
      <c r="G19">
        <v>187.39070000000001</v>
      </c>
      <c r="H19" t="s">
        <v>56</v>
      </c>
      <c r="I19">
        <v>1.0017</v>
      </c>
      <c r="J19">
        <v>1.0041</v>
      </c>
      <c r="K19">
        <v>0</v>
      </c>
      <c r="L19">
        <v>0</v>
      </c>
      <c r="M19">
        <v>0</v>
      </c>
      <c r="N19">
        <v>0</v>
      </c>
      <c r="O19">
        <v>0</v>
      </c>
      <c r="R19" t="s">
        <v>39</v>
      </c>
      <c r="S19" t="s">
        <v>57</v>
      </c>
    </row>
    <row r="20" spans="1:19" x14ac:dyDescent="0.2">
      <c r="A20">
        <v>1.5369999999999999</v>
      </c>
      <c r="B20" t="s">
        <v>111</v>
      </c>
      <c r="C20">
        <v>26192</v>
      </c>
      <c r="D20">
        <v>139</v>
      </c>
      <c r="E20">
        <v>60.68</v>
      </c>
      <c r="F20">
        <v>0.3</v>
      </c>
      <c r="G20">
        <v>202.33320000000001</v>
      </c>
      <c r="H20" t="s">
        <v>56</v>
      </c>
      <c r="I20">
        <v>1.0017</v>
      </c>
      <c r="J20">
        <v>1.0041</v>
      </c>
      <c r="K20">
        <v>0</v>
      </c>
      <c r="L20">
        <v>0</v>
      </c>
      <c r="M20">
        <v>0</v>
      </c>
      <c r="N20">
        <v>0</v>
      </c>
      <c r="O20">
        <v>0</v>
      </c>
      <c r="Q20" t="s">
        <v>58</v>
      </c>
      <c r="R20" t="s">
        <v>39</v>
      </c>
      <c r="S20" t="s">
        <v>59</v>
      </c>
    </row>
    <row r="21" spans="1:19" x14ac:dyDescent="0.2">
      <c r="A21">
        <v>1.851</v>
      </c>
      <c r="B21" t="s">
        <v>112</v>
      </c>
      <c r="C21">
        <v>32890</v>
      </c>
      <c r="D21">
        <v>185</v>
      </c>
      <c r="E21">
        <v>63.26</v>
      </c>
      <c r="F21">
        <v>0.31</v>
      </c>
      <c r="G21">
        <v>203.04990000000001</v>
      </c>
      <c r="H21" t="s">
        <v>56</v>
      </c>
      <c r="I21">
        <v>1.0017</v>
      </c>
      <c r="J21">
        <v>1.0041</v>
      </c>
      <c r="K21">
        <v>0</v>
      </c>
      <c r="L21">
        <v>0</v>
      </c>
      <c r="M21">
        <v>0</v>
      </c>
      <c r="N21">
        <v>0</v>
      </c>
      <c r="O21">
        <v>0</v>
      </c>
      <c r="Q21" t="s">
        <v>58</v>
      </c>
      <c r="R21" t="s">
        <v>39</v>
      </c>
      <c r="S21" t="s">
        <v>60</v>
      </c>
    </row>
    <row r="22" spans="1:19" x14ac:dyDescent="0.2">
      <c r="A22">
        <v>1.4330000000000001</v>
      </c>
      <c r="B22" t="s">
        <v>113</v>
      </c>
      <c r="C22">
        <v>24370</v>
      </c>
      <c r="D22">
        <v>125</v>
      </c>
      <c r="E22">
        <v>60.56</v>
      </c>
      <c r="F22">
        <v>0.3</v>
      </c>
      <c r="G22">
        <v>204.13399999999999</v>
      </c>
      <c r="H22" t="s">
        <v>56</v>
      </c>
      <c r="I22">
        <v>1.0017</v>
      </c>
      <c r="J22">
        <v>1.0041</v>
      </c>
      <c r="K22">
        <v>0</v>
      </c>
      <c r="L22">
        <v>0</v>
      </c>
      <c r="M22">
        <v>0</v>
      </c>
      <c r="N22">
        <v>0</v>
      </c>
      <c r="O22">
        <v>0</v>
      </c>
      <c r="Q22" t="s">
        <v>58</v>
      </c>
      <c r="R22" t="s">
        <v>39</v>
      </c>
      <c r="S22" t="s">
        <v>61</v>
      </c>
    </row>
    <row r="23" spans="1:19" x14ac:dyDescent="0.2">
      <c r="A23">
        <v>2.2069999999999999</v>
      </c>
      <c r="B23" t="s">
        <v>114</v>
      </c>
      <c r="C23">
        <v>38834</v>
      </c>
      <c r="D23">
        <v>250</v>
      </c>
      <c r="E23">
        <v>62.63</v>
      </c>
      <c r="F23">
        <v>0.34</v>
      </c>
      <c r="G23">
        <v>186.08189999999999</v>
      </c>
      <c r="H23" t="s">
        <v>56</v>
      </c>
      <c r="I23">
        <v>1.0017</v>
      </c>
      <c r="J23">
        <v>1.0041</v>
      </c>
      <c r="K23">
        <v>0</v>
      </c>
      <c r="L23">
        <v>0</v>
      </c>
      <c r="M23">
        <v>0</v>
      </c>
      <c r="N23">
        <v>0</v>
      </c>
      <c r="O23">
        <v>0</v>
      </c>
      <c r="R23" t="s">
        <v>39</v>
      </c>
      <c r="S23" t="s">
        <v>62</v>
      </c>
    </row>
    <row r="24" spans="1:19" x14ac:dyDescent="0.2">
      <c r="A24">
        <v>1.75</v>
      </c>
      <c r="B24" t="s">
        <v>115</v>
      </c>
      <c r="C24">
        <v>30598</v>
      </c>
      <c r="D24">
        <v>0</v>
      </c>
      <c r="E24">
        <v>62.25</v>
      </c>
      <c r="F24">
        <v>0</v>
      </c>
      <c r="G24">
        <v>0</v>
      </c>
      <c r="H24" t="s">
        <v>56</v>
      </c>
      <c r="I24">
        <v>1.0017</v>
      </c>
      <c r="J24">
        <v>1.0041</v>
      </c>
      <c r="K24">
        <v>0</v>
      </c>
      <c r="L24">
        <v>0</v>
      </c>
      <c r="M24">
        <v>0</v>
      </c>
      <c r="N24">
        <v>0</v>
      </c>
      <c r="O24">
        <v>0</v>
      </c>
      <c r="R24" t="s">
        <v>39</v>
      </c>
      <c r="S24" t="s">
        <v>63</v>
      </c>
    </row>
    <row r="25" spans="1:19" x14ac:dyDescent="0.2">
      <c r="A25">
        <v>1.696</v>
      </c>
      <c r="B25" t="s">
        <v>116</v>
      </c>
      <c r="C25">
        <v>18805</v>
      </c>
      <c r="D25">
        <v>2752</v>
      </c>
      <c r="E25">
        <v>39.47</v>
      </c>
      <c r="F25">
        <v>4.18</v>
      </c>
      <c r="G25">
        <v>9.4464000000000006</v>
      </c>
      <c r="H25" t="s">
        <v>56</v>
      </c>
      <c r="I25">
        <v>1.0017</v>
      </c>
      <c r="J25">
        <v>1.0041</v>
      </c>
      <c r="K25">
        <v>0</v>
      </c>
      <c r="L25">
        <v>0</v>
      </c>
      <c r="M25">
        <v>0</v>
      </c>
      <c r="N25">
        <v>0</v>
      </c>
      <c r="O25">
        <v>0</v>
      </c>
      <c r="R25" t="s">
        <v>39</v>
      </c>
      <c r="S25" t="s">
        <v>64</v>
      </c>
    </row>
    <row r="26" spans="1:19" x14ac:dyDescent="0.2">
      <c r="A26">
        <v>4.3840000000000003</v>
      </c>
      <c r="B26" t="s">
        <v>117</v>
      </c>
      <c r="C26">
        <v>54342</v>
      </c>
      <c r="D26">
        <v>6200</v>
      </c>
      <c r="E26">
        <v>44.12</v>
      </c>
      <c r="F26">
        <v>3.61</v>
      </c>
      <c r="G26">
        <v>12.216799999999999</v>
      </c>
      <c r="H26" t="s">
        <v>56</v>
      </c>
      <c r="I26">
        <v>1.0017</v>
      </c>
      <c r="J26">
        <v>1.0041</v>
      </c>
      <c r="K26">
        <v>0</v>
      </c>
      <c r="L26">
        <v>0</v>
      </c>
      <c r="M26">
        <v>0</v>
      </c>
      <c r="N26">
        <v>0</v>
      </c>
      <c r="O26">
        <v>0</v>
      </c>
      <c r="R26" t="s">
        <v>39</v>
      </c>
      <c r="S26" t="s">
        <v>65</v>
      </c>
    </row>
    <row r="27" spans="1:19" x14ac:dyDescent="0.2">
      <c r="A27">
        <v>2.5310000000000001</v>
      </c>
      <c r="B27" t="s">
        <v>118</v>
      </c>
      <c r="C27">
        <v>32340</v>
      </c>
      <c r="D27">
        <v>4375</v>
      </c>
      <c r="E27">
        <v>45.49</v>
      </c>
      <c r="F27">
        <v>4.43</v>
      </c>
      <c r="G27">
        <v>10.2766</v>
      </c>
      <c r="H27" t="s">
        <v>56</v>
      </c>
      <c r="I27">
        <v>1.0017</v>
      </c>
      <c r="J27">
        <v>1.0041</v>
      </c>
      <c r="K27">
        <v>0</v>
      </c>
      <c r="L27">
        <v>0</v>
      </c>
      <c r="M27">
        <v>0</v>
      </c>
      <c r="N27">
        <v>0</v>
      </c>
      <c r="O27">
        <v>0</v>
      </c>
      <c r="R27" t="s">
        <v>39</v>
      </c>
      <c r="S27" t="s">
        <v>66</v>
      </c>
    </row>
    <row r="28" spans="1:19" x14ac:dyDescent="0.2">
      <c r="A28">
        <v>4.5389999999999997</v>
      </c>
      <c r="B28" t="s">
        <v>119</v>
      </c>
      <c r="C28">
        <v>55901</v>
      </c>
      <c r="D28">
        <v>7679</v>
      </c>
      <c r="E28">
        <v>43.83</v>
      </c>
      <c r="F28">
        <v>4.3099999999999996</v>
      </c>
      <c r="G28">
        <v>10.159700000000001</v>
      </c>
      <c r="H28" t="s">
        <v>56</v>
      </c>
      <c r="I28">
        <v>1.0017</v>
      </c>
      <c r="J28">
        <v>1.0041</v>
      </c>
      <c r="K28">
        <v>0</v>
      </c>
      <c r="L28">
        <v>0</v>
      </c>
      <c r="M28">
        <v>0</v>
      </c>
      <c r="N28">
        <v>0</v>
      </c>
      <c r="O28">
        <v>0</v>
      </c>
      <c r="R28" t="s">
        <v>39</v>
      </c>
      <c r="S28" t="s">
        <v>67</v>
      </c>
    </row>
    <row r="29" spans="1:19" x14ac:dyDescent="0.2">
      <c r="A29">
        <v>4.5979999999999999</v>
      </c>
      <c r="B29" t="s">
        <v>120</v>
      </c>
      <c r="C29">
        <v>55400</v>
      </c>
      <c r="D29">
        <v>6470</v>
      </c>
      <c r="E29">
        <v>42.88</v>
      </c>
      <c r="F29">
        <v>3.59</v>
      </c>
      <c r="G29">
        <v>11.936999999999999</v>
      </c>
      <c r="H29" t="s">
        <v>56</v>
      </c>
      <c r="I29">
        <v>1.0017</v>
      </c>
      <c r="J29">
        <v>1.0041</v>
      </c>
      <c r="K29">
        <v>0</v>
      </c>
      <c r="L29">
        <v>0</v>
      </c>
      <c r="M29">
        <v>0</v>
      </c>
      <c r="N29">
        <v>0</v>
      </c>
      <c r="O29">
        <v>0</v>
      </c>
      <c r="R29" t="s">
        <v>39</v>
      </c>
      <c r="S29" t="s">
        <v>68</v>
      </c>
    </row>
    <row r="30" spans="1:19" x14ac:dyDescent="0.2">
      <c r="A30">
        <v>4.6159999999999997</v>
      </c>
      <c r="B30" t="s">
        <v>121</v>
      </c>
      <c r="C30">
        <v>56427</v>
      </c>
      <c r="D30">
        <v>6327</v>
      </c>
      <c r="E30">
        <v>43.51</v>
      </c>
      <c r="F30">
        <v>3.5</v>
      </c>
      <c r="G30">
        <v>12.431699999999999</v>
      </c>
      <c r="H30" t="s">
        <v>56</v>
      </c>
      <c r="I30">
        <v>1.0017</v>
      </c>
      <c r="J30">
        <v>1.0041</v>
      </c>
      <c r="K30">
        <v>0</v>
      </c>
      <c r="L30">
        <v>0</v>
      </c>
      <c r="M30">
        <v>0</v>
      </c>
      <c r="N30">
        <v>0</v>
      </c>
      <c r="O30">
        <v>0</v>
      </c>
      <c r="R30" t="s">
        <v>39</v>
      </c>
      <c r="S30" t="s">
        <v>69</v>
      </c>
    </row>
    <row r="31" spans="1:19" x14ac:dyDescent="0.2">
      <c r="A31">
        <v>1</v>
      </c>
      <c r="B31" t="s">
        <v>43</v>
      </c>
      <c r="C31">
        <v>67</v>
      </c>
      <c r="D31">
        <v>0</v>
      </c>
      <c r="E31">
        <v>0</v>
      </c>
      <c r="F31">
        <v>0</v>
      </c>
      <c r="G31">
        <v>0</v>
      </c>
      <c r="H31" t="s">
        <v>43</v>
      </c>
      <c r="I31">
        <v>1.0017</v>
      </c>
      <c r="J31">
        <v>1.0041</v>
      </c>
      <c r="K31">
        <v>0</v>
      </c>
      <c r="L31">
        <v>67</v>
      </c>
      <c r="M31">
        <v>0</v>
      </c>
      <c r="N31">
        <v>0</v>
      </c>
      <c r="O31">
        <v>0</v>
      </c>
      <c r="R31" t="s">
        <v>39</v>
      </c>
      <c r="S31" t="s">
        <v>70</v>
      </c>
    </row>
    <row r="32" spans="1:19" x14ac:dyDescent="0.2">
      <c r="A32">
        <v>1.3109999999999999</v>
      </c>
      <c r="B32" t="s">
        <v>34</v>
      </c>
      <c r="C32">
        <v>26451</v>
      </c>
      <c r="D32">
        <v>5304</v>
      </c>
      <c r="E32">
        <v>71.540000000000006</v>
      </c>
      <c r="F32">
        <v>10.33</v>
      </c>
      <c r="G32">
        <v>6.9279999999999999</v>
      </c>
      <c r="H32" t="s">
        <v>47</v>
      </c>
      <c r="I32">
        <v>1</v>
      </c>
      <c r="J32">
        <v>1</v>
      </c>
      <c r="K32">
        <v>0</v>
      </c>
      <c r="L32">
        <v>0</v>
      </c>
      <c r="M32">
        <v>0</v>
      </c>
      <c r="N32">
        <v>0</v>
      </c>
      <c r="O32">
        <v>0</v>
      </c>
      <c r="R32" t="s">
        <v>39</v>
      </c>
      <c r="S32" t="s">
        <v>71</v>
      </c>
    </row>
    <row r="33" spans="1:19" x14ac:dyDescent="0.2">
      <c r="A33">
        <v>5.7110000000000003</v>
      </c>
      <c r="B33" t="s">
        <v>122</v>
      </c>
      <c r="C33">
        <v>4560</v>
      </c>
      <c r="D33">
        <v>629</v>
      </c>
      <c r="E33">
        <v>2.83</v>
      </c>
      <c r="F33">
        <v>0.3</v>
      </c>
      <c r="G33">
        <v>9.4992999999999999</v>
      </c>
      <c r="H33" t="s">
        <v>54</v>
      </c>
      <c r="I33">
        <v>1</v>
      </c>
      <c r="J33">
        <v>1</v>
      </c>
      <c r="K33">
        <v>0</v>
      </c>
      <c r="L33">
        <v>0</v>
      </c>
      <c r="M33">
        <v>0</v>
      </c>
      <c r="N33">
        <v>0</v>
      </c>
      <c r="O33">
        <v>0</v>
      </c>
      <c r="R33" t="s">
        <v>39</v>
      </c>
      <c r="S33" t="s">
        <v>72</v>
      </c>
    </row>
    <row r="34" spans="1:19" x14ac:dyDescent="0.2">
      <c r="A34">
        <v>3.754</v>
      </c>
      <c r="B34" t="s">
        <v>123</v>
      </c>
      <c r="C34">
        <v>46943</v>
      </c>
      <c r="D34">
        <v>4794</v>
      </c>
      <c r="E34">
        <v>44.51</v>
      </c>
      <c r="F34">
        <v>3.27</v>
      </c>
      <c r="G34">
        <v>13.6219</v>
      </c>
      <c r="H34" t="s">
        <v>56</v>
      </c>
      <c r="I34">
        <v>1.0017</v>
      </c>
      <c r="J34">
        <v>1.0041</v>
      </c>
      <c r="K34">
        <v>0</v>
      </c>
      <c r="L34">
        <v>0</v>
      </c>
      <c r="M34">
        <v>0</v>
      </c>
      <c r="N34">
        <v>0</v>
      </c>
      <c r="O34">
        <v>0</v>
      </c>
      <c r="R34" t="s">
        <v>39</v>
      </c>
      <c r="S34" t="s">
        <v>73</v>
      </c>
    </row>
    <row r="35" spans="1:19" x14ac:dyDescent="0.2">
      <c r="A35">
        <v>2.1960000000000002</v>
      </c>
      <c r="B35" t="s">
        <v>124</v>
      </c>
      <c r="C35">
        <v>27805</v>
      </c>
      <c r="D35">
        <v>3306</v>
      </c>
      <c r="E35">
        <v>45.08</v>
      </c>
      <c r="F35">
        <v>3.87</v>
      </c>
      <c r="G35">
        <v>11.6577</v>
      </c>
      <c r="H35" t="s">
        <v>56</v>
      </c>
      <c r="I35">
        <v>1.0017</v>
      </c>
      <c r="J35">
        <v>1.0041</v>
      </c>
      <c r="K35">
        <v>0</v>
      </c>
      <c r="L35">
        <v>0</v>
      </c>
      <c r="M35">
        <v>0</v>
      </c>
      <c r="N35">
        <v>0</v>
      </c>
      <c r="O35">
        <v>0</v>
      </c>
      <c r="R35" t="s">
        <v>39</v>
      </c>
      <c r="S35" t="s">
        <v>74</v>
      </c>
    </row>
    <row r="36" spans="1:19" x14ac:dyDescent="0.2">
      <c r="A36">
        <v>3.2879999999999998</v>
      </c>
      <c r="B36" t="s">
        <v>125</v>
      </c>
      <c r="C36">
        <v>39962</v>
      </c>
      <c r="D36">
        <v>4403</v>
      </c>
      <c r="E36">
        <v>43.26</v>
      </c>
      <c r="F36">
        <v>3.43</v>
      </c>
      <c r="G36">
        <v>12.6168</v>
      </c>
      <c r="H36" t="s">
        <v>56</v>
      </c>
      <c r="I36">
        <v>1.0017</v>
      </c>
      <c r="J36">
        <v>1.0041</v>
      </c>
      <c r="K36">
        <v>0</v>
      </c>
      <c r="L36">
        <v>0</v>
      </c>
      <c r="M36">
        <v>0</v>
      </c>
      <c r="N36">
        <v>0</v>
      </c>
      <c r="O36">
        <v>0</v>
      </c>
      <c r="R36" t="s">
        <v>39</v>
      </c>
      <c r="S36" t="s">
        <v>75</v>
      </c>
    </row>
    <row r="37" spans="1:19" x14ac:dyDescent="0.2">
      <c r="A37">
        <v>4.7629999999999999</v>
      </c>
      <c r="B37" t="s">
        <v>126</v>
      </c>
      <c r="C37">
        <v>59048</v>
      </c>
      <c r="D37">
        <v>5602</v>
      </c>
      <c r="E37">
        <v>44.12</v>
      </c>
      <c r="F37">
        <v>3.01</v>
      </c>
      <c r="G37">
        <v>14.680999999999999</v>
      </c>
      <c r="H37" t="s">
        <v>56</v>
      </c>
      <c r="I37">
        <v>1.0017</v>
      </c>
      <c r="J37">
        <v>1.0041</v>
      </c>
      <c r="K37">
        <v>0</v>
      </c>
      <c r="L37">
        <v>0</v>
      </c>
      <c r="M37">
        <v>0</v>
      </c>
      <c r="N37">
        <v>0</v>
      </c>
      <c r="O37">
        <v>0</v>
      </c>
      <c r="R37" t="s">
        <v>39</v>
      </c>
      <c r="S37" t="s">
        <v>76</v>
      </c>
    </row>
    <row r="38" spans="1:19" x14ac:dyDescent="0.2">
      <c r="A38">
        <v>3.9369999999999998</v>
      </c>
      <c r="B38" t="s">
        <v>127</v>
      </c>
      <c r="C38">
        <v>48347</v>
      </c>
      <c r="D38">
        <v>6069</v>
      </c>
      <c r="E38">
        <v>43.71</v>
      </c>
      <c r="F38">
        <v>3.94</v>
      </c>
      <c r="G38">
        <v>11.1023</v>
      </c>
      <c r="H38" t="s">
        <v>56</v>
      </c>
      <c r="I38">
        <v>1.0017</v>
      </c>
      <c r="J38">
        <v>1.0041</v>
      </c>
      <c r="K38">
        <v>0</v>
      </c>
      <c r="L38">
        <v>0</v>
      </c>
      <c r="M38">
        <v>0</v>
      </c>
      <c r="N38">
        <v>0</v>
      </c>
      <c r="O38">
        <v>0</v>
      </c>
      <c r="R38" t="s">
        <v>39</v>
      </c>
      <c r="S38" t="s">
        <v>77</v>
      </c>
    </row>
    <row r="39" spans="1:19" x14ac:dyDescent="0.2">
      <c r="A39">
        <v>2.004</v>
      </c>
      <c r="B39" t="s">
        <v>128</v>
      </c>
      <c r="C39">
        <v>24916</v>
      </c>
      <c r="D39">
        <v>2788</v>
      </c>
      <c r="E39">
        <v>44.27</v>
      </c>
      <c r="F39">
        <v>3.58</v>
      </c>
      <c r="G39">
        <v>12.358599999999999</v>
      </c>
      <c r="H39" t="s">
        <v>56</v>
      </c>
      <c r="I39">
        <v>1.0017</v>
      </c>
      <c r="J39">
        <v>1.0041</v>
      </c>
      <c r="K39">
        <v>0</v>
      </c>
      <c r="L39">
        <v>0</v>
      </c>
      <c r="M39">
        <v>0</v>
      </c>
      <c r="N39">
        <v>0</v>
      </c>
      <c r="O39">
        <v>0</v>
      </c>
      <c r="R39" t="s">
        <v>39</v>
      </c>
      <c r="S39" t="s">
        <v>78</v>
      </c>
    </row>
    <row r="40" spans="1:19" x14ac:dyDescent="0.2">
      <c r="A40">
        <v>2.0099999999999998</v>
      </c>
      <c r="B40" t="s">
        <v>129</v>
      </c>
      <c r="C40">
        <v>24698</v>
      </c>
      <c r="D40">
        <v>2764</v>
      </c>
      <c r="E40">
        <v>43.75</v>
      </c>
      <c r="F40">
        <v>3.54</v>
      </c>
      <c r="G40">
        <v>12.3565</v>
      </c>
      <c r="H40" t="s">
        <v>56</v>
      </c>
      <c r="I40">
        <v>1.0017</v>
      </c>
      <c r="J40">
        <v>1.0041</v>
      </c>
      <c r="K40">
        <v>0</v>
      </c>
      <c r="L40">
        <v>0</v>
      </c>
      <c r="M40">
        <v>0</v>
      </c>
      <c r="N40">
        <v>0</v>
      </c>
      <c r="O40">
        <v>0</v>
      </c>
      <c r="R40" t="s">
        <v>39</v>
      </c>
      <c r="S40" t="s">
        <v>79</v>
      </c>
    </row>
    <row r="41" spans="1:19" x14ac:dyDescent="0.2">
      <c r="A41">
        <v>2.0059999999999998</v>
      </c>
      <c r="B41" t="s">
        <v>130</v>
      </c>
      <c r="C41">
        <v>24321</v>
      </c>
      <c r="D41">
        <v>2629</v>
      </c>
      <c r="E41">
        <v>43.17</v>
      </c>
      <c r="F41">
        <v>3.38</v>
      </c>
      <c r="G41">
        <v>12.7828</v>
      </c>
      <c r="H41" t="s">
        <v>56</v>
      </c>
      <c r="I41">
        <v>1.0017</v>
      </c>
      <c r="J41">
        <v>1.0041</v>
      </c>
      <c r="K41">
        <v>0</v>
      </c>
      <c r="L41">
        <v>0</v>
      </c>
      <c r="M41">
        <v>0</v>
      </c>
      <c r="N41">
        <v>0</v>
      </c>
      <c r="O41">
        <v>0</v>
      </c>
      <c r="R41" t="s">
        <v>39</v>
      </c>
      <c r="S41" t="s">
        <v>80</v>
      </c>
    </row>
    <row r="42" spans="1:19" x14ac:dyDescent="0.2">
      <c r="A42">
        <v>3.2690000000000001</v>
      </c>
      <c r="B42" t="s">
        <v>131</v>
      </c>
      <c r="C42">
        <v>37058</v>
      </c>
      <c r="D42">
        <v>4941</v>
      </c>
      <c r="E42">
        <v>40.35</v>
      </c>
      <c r="F42">
        <v>3.87</v>
      </c>
      <c r="G42">
        <v>10.438499999999999</v>
      </c>
      <c r="H42" t="s">
        <v>56</v>
      </c>
      <c r="I42">
        <v>1.0017</v>
      </c>
      <c r="J42">
        <v>1.0041</v>
      </c>
      <c r="K42">
        <v>0</v>
      </c>
      <c r="L42">
        <v>0</v>
      </c>
      <c r="M42">
        <v>0</v>
      </c>
      <c r="N42">
        <v>0</v>
      </c>
      <c r="O42">
        <v>0</v>
      </c>
      <c r="R42" t="s">
        <v>39</v>
      </c>
      <c r="S42" t="s">
        <v>81</v>
      </c>
    </row>
    <row r="43" spans="1:19" x14ac:dyDescent="0.2">
      <c r="A43">
        <v>4.6020000000000003</v>
      </c>
      <c r="B43" t="s">
        <v>132</v>
      </c>
      <c r="C43">
        <v>48054</v>
      </c>
      <c r="D43">
        <v>3812</v>
      </c>
      <c r="E43">
        <v>37.17</v>
      </c>
      <c r="F43">
        <v>2.12</v>
      </c>
      <c r="G43">
        <v>17.494900000000001</v>
      </c>
      <c r="H43" t="s">
        <v>56</v>
      </c>
      <c r="I43">
        <v>1.0017</v>
      </c>
      <c r="J43">
        <v>1.0041</v>
      </c>
      <c r="K43">
        <v>0</v>
      </c>
      <c r="L43">
        <v>0</v>
      </c>
      <c r="M43">
        <v>0</v>
      </c>
      <c r="N43">
        <v>0</v>
      </c>
      <c r="O43">
        <v>0</v>
      </c>
      <c r="R43" t="s">
        <v>39</v>
      </c>
      <c r="S43" t="s">
        <v>82</v>
      </c>
    </row>
    <row r="44" spans="1:19" x14ac:dyDescent="0.2">
      <c r="A44">
        <v>2.9180000000000001</v>
      </c>
      <c r="B44" t="s">
        <v>133</v>
      </c>
      <c r="C44">
        <v>29322</v>
      </c>
      <c r="D44">
        <v>4120</v>
      </c>
      <c r="E44">
        <v>35.78</v>
      </c>
      <c r="F44">
        <v>3.62</v>
      </c>
      <c r="G44">
        <v>9.8895999999999997</v>
      </c>
      <c r="H44" t="s">
        <v>56</v>
      </c>
      <c r="I44">
        <v>1.0017</v>
      </c>
      <c r="J44">
        <v>1.0041</v>
      </c>
      <c r="K44">
        <v>0</v>
      </c>
      <c r="L44">
        <v>0</v>
      </c>
      <c r="M44">
        <v>0</v>
      </c>
      <c r="N44">
        <v>0</v>
      </c>
      <c r="O44">
        <v>0</v>
      </c>
      <c r="R44" t="s">
        <v>39</v>
      </c>
      <c r="S44" t="s">
        <v>83</v>
      </c>
    </row>
    <row r="45" spans="1:19" x14ac:dyDescent="0.2">
      <c r="A45">
        <v>2.7589999999999999</v>
      </c>
      <c r="B45" t="s">
        <v>134</v>
      </c>
      <c r="C45">
        <v>31557</v>
      </c>
      <c r="D45">
        <v>3205</v>
      </c>
      <c r="E45">
        <v>40.72</v>
      </c>
      <c r="F45">
        <v>2.99</v>
      </c>
      <c r="G45">
        <v>13.6401</v>
      </c>
      <c r="H45" t="s">
        <v>56</v>
      </c>
      <c r="I45">
        <v>1.0017</v>
      </c>
      <c r="J45">
        <v>1.0041</v>
      </c>
      <c r="K45">
        <v>0</v>
      </c>
      <c r="L45">
        <v>0</v>
      </c>
      <c r="M45">
        <v>0</v>
      </c>
      <c r="N45">
        <v>0</v>
      </c>
      <c r="O45">
        <v>0</v>
      </c>
      <c r="R45" t="s">
        <v>39</v>
      </c>
      <c r="S45" t="s">
        <v>84</v>
      </c>
    </row>
    <row r="46" spans="1:19" x14ac:dyDescent="0.2">
      <c r="A46">
        <v>1</v>
      </c>
      <c r="B46" t="s">
        <v>43</v>
      </c>
      <c r="C46">
        <v>64</v>
      </c>
      <c r="D46">
        <v>21</v>
      </c>
      <c r="E46">
        <v>0</v>
      </c>
      <c r="F46">
        <v>0</v>
      </c>
      <c r="G46">
        <v>0</v>
      </c>
      <c r="H46" t="s">
        <v>43</v>
      </c>
      <c r="I46">
        <v>1.0017</v>
      </c>
      <c r="J46">
        <v>1.0041</v>
      </c>
      <c r="K46">
        <v>21</v>
      </c>
      <c r="L46">
        <v>64</v>
      </c>
      <c r="M46">
        <v>0</v>
      </c>
      <c r="N46">
        <v>0</v>
      </c>
      <c r="O46">
        <v>0</v>
      </c>
      <c r="R46" t="s">
        <v>39</v>
      </c>
      <c r="S46" t="s">
        <v>85</v>
      </c>
    </row>
    <row r="47" spans="1:19" x14ac:dyDescent="0.2">
      <c r="A47">
        <v>2.7349999999999999</v>
      </c>
      <c r="B47" t="s">
        <v>34</v>
      </c>
      <c r="C47">
        <v>55399</v>
      </c>
      <c r="D47">
        <v>11244</v>
      </c>
      <c r="E47">
        <v>71.790000000000006</v>
      </c>
      <c r="F47">
        <v>10.46</v>
      </c>
      <c r="G47">
        <v>6.8647999999999998</v>
      </c>
      <c r="H47" t="s">
        <v>47</v>
      </c>
      <c r="I47">
        <v>1</v>
      </c>
      <c r="J47">
        <v>1</v>
      </c>
      <c r="K47">
        <v>0</v>
      </c>
      <c r="L47">
        <v>0</v>
      </c>
      <c r="M47">
        <v>0</v>
      </c>
      <c r="N47">
        <v>0</v>
      </c>
      <c r="O47">
        <v>0</v>
      </c>
      <c r="R47" t="s">
        <v>39</v>
      </c>
      <c r="S47" t="s">
        <v>86</v>
      </c>
    </row>
    <row r="48" spans="1:19" x14ac:dyDescent="0.2">
      <c r="A48">
        <v>6.5149999999999997</v>
      </c>
      <c r="B48" t="s">
        <v>122</v>
      </c>
      <c r="C48">
        <v>5362</v>
      </c>
      <c r="D48">
        <v>795</v>
      </c>
      <c r="E48">
        <v>2.91</v>
      </c>
      <c r="F48">
        <v>0.33</v>
      </c>
      <c r="G48">
        <v>8.9585000000000008</v>
      </c>
      <c r="H48" t="s">
        <v>54</v>
      </c>
      <c r="I48">
        <v>1</v>
      </c>
      <c r="J48">
        <v>1</v>
      </c>
      <c r="K48">
        <v>0</v>
      </c>
      <c r="L48">
        <v>0</v>
      </c>
      <c r="M48">
        <v>0</v>
      </c>
      <c r="N48">
        <v>0</v>
      </c>
      <c r="O48">
        <v>0</v>
      </c>
      <c r="R48" t="s">
        <v>39</v>
      </c>
      <c r="S48" t="s">
        <v>87</v>
      </c>
    </row>
    <row r="49" spans="1:19" x14ac:dyDescent="0.2">
      <c r="A49">
        <v>5.4640000000000004</v>
      </c>
      <c r="B49" t="s">
        <v>135</v>
      </c>
      <c r="C49">
        <v>67245</v>
      </c>
      <c r="D49">
        <v>6143</v>
      </c>
      <c r="E49">
        <v>43.8</v>
      </c>
      <c r="F49">
        <v>2.87</v>
      </c>
      <c r="G49">
        <v>15.2546</v>
      </c>
      <c r="H49" t="s">
        <v>56</v>
      </c>
      <c r="I49">
        <v>1.0017</v>
      </c>
      <c r="J49">
        <v>1.0041</v>
      </c>
      <c r="K49">
        <v>0</v>
      </c>
      <c r="L49">
        <v>0</v>
      </c>
      <c r="M49">
        <v>0</v>
      </c>
      <c r="N49">
        <v>0</v>
      </c>
      <c r="O49">
        <v>0</v>
      </c>
      <c r="R49" t="s">
        <v>39</v>
      </c>
      <c r="S49" t="s">
        <v>88</v>
      </c>
    </row>
    <row r="50" spans="1:19" x14ac:dyDescent="0.2">
      <c r="A50">
        <v>4.05</v>
      </c>
      <c r="B50" t="s">
        <v>136</v>
      </c>
      <c r="C50">
        <v>48790</v>
      </c>
      <c r="D50">
        <v>4132</v>
      </c>
      <c r="E50">
        <v>42.88</v>
      </c>
      <c r="F50">
        <v>2.61</v>
      </c>
      <c r="G50">
        <v>16.403099999999998</v>
      </c>
      <c r="H50" t="s">
        <v>56</v>
      </c>
      <c r="I50">
        <v>1.0017</v>
      </c>
      <c r="J50">
        <v>1.0041</v>
      </c>
      <c r="K50">
        <v>0</v>
      </c>
      <c r="L50">
        <v>0</v>
      </c>
      <c r="M50">
        <v>0</v>
      </c>
      <c r="N50">
        <v>0</v>
      </c>
      <c r="O50">
        <v>0</v>
      </c>
      <c r="R50" t="s">
        <v>39</v>
      </c>
      <c r="S50" t="s">
        <v>89</v>
      </c>
    </row>
    <row r="51" spans="1:19" x14ac:dyDescent="0.2">
      <c r="A51">
        <v>3.1589999999999998</v>
      </c>
      <c r="B51" t="s">
        <v>137</v>
      </c>
      <c r="C51">
        <v>38566</v>
      </c>
      <c r="D51">
        <v>3396</v>
      </c>
      <c r="E51">
        <v>43.46</v>
      </c>
      <c r="F51">
        <v>2.76</v>
      </c>
      <c r="G51">
        <v>15.7418</v>
      </c>
      <c r="H51" t="s">
        <v>56</v>
      </c>
      <c r="I51">
        <v>1.0017</v>
      </c>
      <c r="J51">
        <v>1.0041</v>
      </c>
      <c r="K51">
        <v>0</v>
      </c>
      <c r="L51">
        <v>0</v>
      </c>
      <c r="M51">
        <v>0</v>
      </c>
      <c r="N51">
        <v>0</v>
      </c>
      <c r="O51">
        <v>0</v>
      </c>
      <c r="R51" t="s">
        <v>39</v>
      </c>
      <c r="S51" t="s">
        <v>90</v>
      </c>
    </row>
    <row r="52" spans="1:19" x14ac:dyDescent="0.2">
      <c r="A52">
        <v>5.66</v>
      </c>
      <c r="B52" t="s">
        <v>138</v>
      </c>
      <c r="C52">
        <v>68910</v>
      </c>
      <c r="D52">
        <v>7178</v>
      </c>
      <c r="E52">
        <v>43.33</v>
      </c>
      <c r="F52">
        <v>3.24</v>
      </c>
      <c r="G52">
        <v>13.391500000000001</v>
      </c>
      <c r="H52" t="s">
        <v>56</v>
      </c>
      <c r="I52">
        <v>1.0017</v>
      </c>
      <c r="J52">
        <v>1.0041</v>
      </c>
      <c r="K52">
        <v>0</v>
      </c>
      <c r="L52">
        <v>0</v>
      </c>
      <c r="M52">
        <v>0</v>
      </c>
      <c r="N52">
        <v>0</v>
      </c>
      <c r="O52">
        <v>0</v>
      </c>
      <c r="R52" t="s">
        <v>39</v>
      </c>
      <c r="S52" t="s">
        <v>91</v>
      </c>
    </row>
    <row r="53" spans="1:19" x14ac:dyDescent="0.2">
      <c r="A53">
        <v>5.641</v>
      </c>
      <c r="B53" t="s">
        <v>139</v>
      </c>
      <c r="C53">
        <v>55657</v>
      </c>
      <c r="D53">
        <v>5379</v>
      </c>
      <c r="E53">
        <v>35.11</v>
      </c>
      <c r="F53">
        <v>2.44</v>
      </c>
      <c r="G53">
        <v>14.405099999999999</v>
      </c>
      <c r="H53" t="s">
        <v>56</v>
      </c>
      <c r="I53">
        <v>1.0017</v>
      </c>
      <c r="J53">
        <v>1.0041</v>
      </c>
      <c r="K53">
        <v>0</v>
      </c>
      <c r="L53">
        <v>0</v>
      </c>
      <c r="M53">
        <v>0</v>
      </c>
      <c r="N53">
        <v>0</v>
      </c>
      <c r="O53">
        <v>0</v>
      </c>
      <c r="R53" t="s">
        <v>39</v>
      </c>
      <c r="S53" t="s">
        <v>92</v>
      </c>
    </row>
    <row r="54" spans="1:19" x14ac:dyDescent="0.2">
      <c r="A54">
        <v>3.1960000000000002</v>
      </c>
      <c r="B54" t="s">
        <v>140</v>
      </c>
      <c r="C54">
        <v>38362</v>
      </c>
      <c r="D54">
        <v>3073</v>
      </c>
      <c r="E54">
        <v>42.73</v>
      </c>
      <c r="F54">
        <v>2.4700000000000002</v>
      </c>
      <c r="G54">
        <v>17.283000000000001</v>
      </c>
      <c r="H54" t="s">
        <v>56</v>
      </c>
      <c r="I54">
        <v>1.0017</v>
      </c>
      <c r="J54">
        <v>1.0041</v>
      </c>
      <c r="K54">
        <v>0</v>
      </c>
      <c r="L54">
        <v>0</v>
      </c>
      <c r="M54">
        <v>0</v>
      </c>
      <c r="N54">
        <v>0</v>
      </c>
      <c r="O54">
        <v>0</v>
      </c>
      <c r="R54" t="s">
        <v>39</v>
      </c>
      <c r="S54" t="s">
        <v>93</v>
      </c>
    </row>
    <row r="55" spans="1:19" x14ac:dyDescent="0.2">
      <c r="A55">
        <v>2.0920000000000001</v>
      </c>
      <c r="B55" t="s">
        <v>141</v>
      </c>
      <c r="C55">
        <v>25744</v>
      </c>
      <c r="D55">
        <v>2394</v>
      </c>
      <c r="E55">
        <v>43.82</v>
      </c>
      <c r="F55">
        <v>2.95</v>
      </c>
      <c r="G55">
        <v>14.8371</v>
      </c>
      <c r="H55" t="s">
        <v>56</v>
      </c>
      <c r="I55">
        <v>1.0017</v>
      </c>
      <c r="J55">
        <v>1.0041</v>
      </c>
      <c r="K55">
        <v>0</v>
      </c>
      <c r="L55">
        <v>0</v>
      </c>
      <c r="M55">
        <v>0</v>
      </c>
      <c r="N55">
        <v>0</v>
      </c>
      <c r="O55">
        <v>0</v>
      </c>
      <c r="R55" t="s">
        <v>39</v>
      </c>
      <c r="S55" t="s">
        <v>94</v>
      </c>
    </row>
    <row r="56" spans="1:19" x14ac:dyDescent="0.2">
      <c r="A56">
        <v>2.3359999999999999</v>
      </c>
      <c r="B56" t="s">
        <v>142</v>
      </c>
      <c r="C56">
        <v>28551</v>
      </c>
      <c r="D56">
        <v>2515</v>
      </c>
      <c r="E56">
        <v>43.51</v>
      </c>
      <c r="F56">
        <v>2.78</v>
      </c>
      <c r="G56">
        <v>15.675000000000001</v>
      </c>
      <c r="H56" t="s">
        <v>56</v>
      </c>
      <c r="I56">
        <v>1.0017</v>
      </c>
      <c r="J56">
        <v>1.0041</v>
      </c>
      <c r="K56">
        <v>0</v>
      </c>
      <c r="L56">
        <v>0</v>
      </c>
      <c r="M56">
        <v>0</v>
      </c>
      <c r="N56">
        <v>0</v>
      </c>
      <c r="O56">
        <v>0</v>
      </c>
      <c r="R56" t="s">
        <v>39</v>
      </c>
      <c r="S56" t="s">
        <v>95</v>
      </c>
    </row>
    <row r="57" spans="1:19" x14ac:dyDescent="0.2">
      <c r="A57">
        <v>2.6419999999999999</v>
      </c>
      <c r="B57" t="s">
        <v>143</v>
      </c>
      <c r="C57">
        <v>32784</v>
      </c>
      <c r="D57">
        <v>3036</v>
      </c>
      <c r="E57">
        <v>44.18</v>
      </c>
      <c r="F57">
        <v>2.96</v>
      </c>
      <c r="G57">
        <v>14.949299999999999</v>
      </c>
      <c r="H57" t="s">
        <v>56</v>
      </c>
      <c r="I57">
        <v>1.0017</v>
      </c>
      <c r="J57">
        <v>1.0041</v>
      </c>
      <c r="K57">
        <v>0</v>
      </c>
      <c r="L57">
        <v>0</v>
      </c>
      <c r="M57">
        <v>0</v>
      </c>
      <c r="N57">
        <v>0</v>
      </c>
      <c r="O57">
        <v>0</v>
      </c>
      <c r="R57" t="s">
        <v>39</v>
      </c>
      <c r="S57" t="s">
        <v>96</v>
      </c>
    </row>
    <row r="58" spans="1:19" x14ac:dyDescent="0.2">
      <c r="A58">
        <v>2.5129999999999999</v>
      </c>
      <c r="B58" t="s">
        <v>144</v>
      </c>
      <c r="C58">
        <v>31489</v>
      </c>
      <c r="D58">
        <v>3160</v>
      </c>
      <c r="E58">
        <v>44.61</v>
      </c>
      <c r="F58">
        <v>3.23</v>
      </c>
      <c r="G58">
        <v>13.8025</v>
      </c>
      <c r="H58" t="s">
        <v>56</v>
      </c>
      <c r="I58">
        <v>1.0017</v>
      </c>
      <c r="J58">
        <v>1.0041</v>
      </c>
      <c r="K58">
        <v>0</v>
      </c>
      <c r="L58">
        <v>0</v>
      </c>
      <c r="M58">
        <v>0</v>
      </c>
      <c r="N58">
        <v>0</v>
      </c>
      <c r="O58">
        <v>0</v>
      </c>
      <c r="R58" t="s">
        <v>39</v>
      </c>
      <c r="S58" t="s">
        <v>97</v>
      </c>
    </row>
    <row r="59" spans="1:19" x14ac:dyDescent="0.2">
      <c r="A59">
        <v>4.9800000000000004</v>
      </c>
      <c r="B59" t="s">
        <v>145</v>
      </c>
      <c r="C59">
        <v>57787</v>
      </c>
      <c r="D59">
        <v>7302</v>
      </c>
      <c r="E59">
        <v>41.3</v>
      </c>
      <c r="F59">
        <v>3.74</v>
      </c>
      <c r="G59">
        <v>11.040800000000001</v>
      </c>
      <c r="H59" t="s">
        <v>56</v>
      </c>
      <c r="I59">
        <v>1.0017</v>
      </c>
      <c r="J59">
        <v>1.0041</v>
      </c>
      <c r="K59">
        <v>0</v>
      </c>
      <c r="L59">
        <v>0</v>
      </c>
      <c r="M59">
        <v>0</v>
      </c>
      <c r="N59">
        <v>0</v>
      </c>
      <c r="O59">
        <v>0</v>
      </c>
      <c r="R59" t="s">
        <v>39</v>
      </c>
      <c r="S59" t="s">
        <v>98</v>
      </c>
    </row>
    <row r="60" spans="1:19" x14ac:dyDescent="0.2">
      <c r="A60">
        <v>2.6259999999999999</v>
      </c>
      <c r="B60" t="s">
        <v>146</v>
      </c>
      <c r="C60">
        <v>32072</v>
      </c>
      <c r="D60">
        <v>4731</v>
      </c>
      <c r="E60">
        <v>43.48</v>
      </c>
      <c r="F60">
        <v>4.6100000000000003</v>
      </c>
      <c r="G60">
        <v>9.4306999999999999</v>
      </c>
      <c r="H60" t="s">
        <v>56</v>
      </c>
      <c r="I60">
        <v>1.0017</v>
      </c>
      <c r="J60">
        <v>1.0041</v>
      </c>
      <c r="K60">
        <v>0</v>
      </c>
      <c r="L60">
        <v>0</v>
      </c>
      <c r="M60">
        <v>0</v>
      </c>
      <c r="N60">
        <v>0</v>
      </c>
      <c r="O60">
        <v>0</v>
      </c>
      <c r="R60" t="s">
        <v>39</v>
      </c>
      <c r="S60" t="s">
        <v>99</v>
      </c>
    </row>
    <row r="61" spans="1:19" x14ac:dyDescent="0.2">
      <c r="A61">
        <v>1</v>
      </c>
      <c r="B61" t="s">
        <v>37</v>
      </c>
      <c r="C61">
        <v>61</v>
      </c>
      <c r="D61">
        <v>9</v>
      </c>
      <c r="E61">
        <v>0</v>
      </c>
      <c r="F61">
        <v>0</v>
      </c>
      <c r="G61">
        <v>0</v>
      </c>
      <c r="H61" t="s">
        <v>43</v>
      </c>
      <c r="I61">
        <v>1.0017</v>
      </c>
      <c r="J61">
        <v>1.0041</v>
      </c>
      <c r="K61">
        <v>9</v>
      </c>
      <c r="L61">
        <v>61</v>
      </c>
      <c r="M61">
        <v>0</v>
      </c>
      <c r="N61">
        <v>0</v>
      </c>
      <c r="O61">
        <v>0</v>
      </c>
      <c r="R61" t="s">
        <v>39</v>
      </c>
      <c r="S61" t="s">
        <v>100</v>
      </c>
    </row>
    <row r="62" spans="1:19" x14ac:dyDescent="0.2">
      <c r="A62">
        <v>8.09</v>
      </c>
      <c r="B62" t="s">
        <v>53</v>
      </c>
      <c r="C62">
        <v>6572</v>
      </c>
      <c r="D62">
        <v>919</v>
      </c>
      <c r="E62">
        <v>2.88</v>
      </c>
      <c r="F62">
        <v>0.3</v>
      </c>
      <c r="G62">
        <v>9.5627999999999993</v>
      </c>
      <c r="H62" t="s">
        <v>54</v>
      </c>
      <c r="I62">
        <v>1</v>
      </c>
      <c r="J62">
        <v>1</v>
      </c>
      <c r="K62">
        <v>0</v>
      </c>
      <c r="L62">
        <v>0</v>
      </c>
      <c r="M62">
        <v>0</v>
      </c>
      <c r="N62">
        <v>0</v>
      </c>
      <c r="O62">
        <v>0</v>
      </c>
      <c r="R62" t="s">
        <v>39</v>
      </c>
      <c r="S62" t="s">
        <v>101</v>
      </c>
    </row>
    <row r="63" spans="1:19" x14ac:dyDescent="0.2">
      <c r="A63">
        <v>2.3439999999999999</v>
      </c>
      <c r="B63" t="s">
        <v>46</v>
      </c>
      <c r="C63">
        <v>46785</v>
      </c>
      <c r="D63">
        <v>9654</v>
      </c>
      <c r="E63">
        <v>71.09</v>
      </c>
      <c r="F63">
        <v>10.36</v>
      </c>
      <c r="G63">
        <v>6.8620000000000001</v>
      </c>
      <c r="H63" t="s">
        <v>47</v>
      </c>
      <c r="I63">
        <v>0.98909999999999998</v>
      </c>
      <c r="J63">
        <v>1.0047999999999999</v>
      </c>
      <c r="K63">
        <v>0</v>
      </c>
      <c r="L63">
        <v>0</v>
      </c>
      <c r="M63">
        <v>0</v>
      </c>
      <c r="N63">
        <v>0</v>
      </c>
      <c r="O63">
        <v>0</v>
      </c>
      <c r="R63" t="s">
        <v>39</v>
      </c>
      <c r="S63" t="s">
        <v>102</v>
      </c>
    </row>
    <row r="64" spans="1:19" x14ac:dyDescent="0.2">
      <c r="A64">
        <v>1.6419999999999999</v>
      </c>
      <c r="B64" t="s">
        <v>46</v>
      </c>
      <c r="C64">
        <v>32989</v>
      </c>
      <c r="D64">
        <v>6812</v>
      </c>
      <c r="E64">
        <v>71.09</v>
      </c>
      <c r="F64">
        <v>10.36</v>
      </c>
      <c r="G64">
        <v>6.8620000000000001</v>
      </c>
      <c r="H64" t="s">
        <v>47</v>
      </c>
      <c r="I64">
        <v>0.98019999999999996</v>
      </c>
      <c r="J64">
        <v>0.99809999999999999</v>
      </c>
      <c r="K64">
        <v>0</v>
      </c>
      <c r="L64">
        <v>0</v>
      </c>
      <c r="M64">
        <v>0</v>
      </c>
      <c r="N64">
        <v>0</v>
      </c>
      <c r="O64">
        <v>0</v>
      </c>
      <c r="R64" t="s">
        <v>39</v>
      </c>
      <c r="S64" t="s">
        <v>103</v>
      </c>
    </row>
    <row r="65" spans="1:19" x14ac:dyDescent="0.2">
      <c r="A65">
        <v>1.669</v>
      </c>
      <c r="B65" t="s">
        <v>46</v>
      </c>
      <c r="C65">
        <v>33650</v>
      </c>
      <c r="D65">
        <v>6953</v>
      </c>
      <c r="E65">
        <v>71.09</v>
      </c>
      <c r="F65">
        <v>10.36</v>
      </c>
      <c r="G65">
        <v>6.8620000000000001</v>
      </c>
      <c r="H65" t="s">
        <v>47</v>
      </c>
      <c r="I65">
        <v>0.97619999999999996</v>
      </c>
      <c r="J65">
        <v>0.99460000000000004</v>
      </c>
      <c r="K65">
        <v>0</v>
      </c>
      <c r="L65">
        <v>0</v>
      </c>
      <c r="M65">
        <v>0</v>
      </c>
      <c r="N65">
        <v>0</v>
      </c>
      <c r="O65">
        <v>0</v>
      </c>
      <c r="R65" t="s">
        <v>39</v>
      </c>
      <c r="S65" t="s">
        <v>104</v>
      </c>
    </row>
    <row r="66" spans="1:19" x14ac:dyDescent="0.2">
      <c r="A66">
        <v>1.641</v>
      </c>
      <c r="B66" t="s">
        <v>46</v>
      </c>
      <c r="C66">
        <v>33514</v>
      </c>
      <c r="D66">
        <v>6811</v>
      </c>
      <c r="E66">
        <v>71.09</v>
      </c>
      <c r="F66">
        <v>10.36</v>
      </c>
      <c r="G66">
        <v>6.8620000000000001</v>
      </c>
      <c r="H66" t="s">
        <v>47</v>
      </c>
      <c r="I66">
        <v>0.9798</v>
      </c>
      <c r="J66">
        <v>0.98180000000000001</v>
      </c>
      <c r="K66">
        <v>0</v>
      </c>
      <c r="L66">
        <v>0</v>
      </c>
      <c r="M66">
        <v>0</v>
      </c>
      <c r="N66">
        <v>0</v>
      </c>
      <c r="O66">
        <v>0</v>
      </c>
      <c r="R66" t="s">
        <v>39</v>
      </c>
      <c r="S66" t="s">
        <v>105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B3BC9F-1CB9-423D-AB91-CC03E09A1E51}">
  <dimension ref="A1:H60"/>
  <sheetViews>
    <sheetView workbookViewId="0">
      <selection activeCell="K45" sqref="K45"/>
    </sheetView>
  </sheetViews>
  <sheetFormatPr baseColWidth="10" defaultColWidth="8.83203125" defaultRowHeight="15" x14ac:dyDescent="0.2"/>
  <cols>
    <col min="1" max="1" width="12.5" bestFit="1" customWidth="1"/>
  </cols>
  <sheetData>
    <row r="1" spans="1:8" x14ac:dyDescent="0.2">
      <c r="A1" t="s">
        <v>0</v>
      </c>
      <c r="B1" t="s">
        <v>1</v>
      </c>
      <c r="C1" t="s">
        <v>4</v>
      </c>
      <c r="D1" t="s">
        <v>3</v>
      </c>
      <c r="E1" t="s">
        <v>6</v>
      </c>
      <c r="F1" t="s">
        <v>5</v>
      </c>
      <c r="G1" t="s">
        <v>17</v>
      </c>
      <c r="H1" t="s">
        <v>18</v>
      </c>
    </row>
    <row r="2" spans="1:8" x14ac:dyDescent="0.2">
      <c r="A2">
        <v>1</v>
      </c>
      <c r="B2" t="s">
        <v>37</v>
      </c>
      <c r="C2">
        <v>5285</v>
      </c>
      <c r="D2">
        <v>53755</v>
      </c>
      <c r="E2">
        <v>0</v>
      </c>
      <c r="F2">
        <v>0</v>
      </c>
      <c r="G2">
        <f t="shared" ref="G2:G32" si="0">A2*(E2/100)*1000</f>
        <v>0</v>
      </c>
      <c r="H2">
        <f t="shared" ref="H2:H32" si="1">A2*(F2/100)*1000</f>
        <v>0</v>
      </c>
    </row>
    <row r="3" spans="1:8" x14ac:dyDescent="0.2">
      <c r="A3">
        <v>1</v>
      </c>
      <c r="B3" t="s">
        <v>37</v>
      </c>
      <c r="C3">
        <v>6</v>
      </c>
      <c r="D3">
        <v>57</v>
      </c>
      <c r="E3">
        <v>0</v>
      </c>
      <c r="F3">
        <v>0</v>
      </c>
      <c r="G3">
        <f t="shared" si="0"/>
        <v>0</v>
      </c>
      <c r="H3">
        <f t="shared" si="1"/>
        <v>0</v>
      </c>
    </row>
    <row r="4" spans="1:8" x14ac:dyDescent="0.2">
      <c r="A4">
        <v>1</v>
      </c>
      <c r="B4" t="s">
        <v>37</v>
      </c>
      <c r="C4">
        <v>11</v>
      </c>
      <c r="D4">
        <v>10</v>
      </c>
      <c r="E4">
        <v>0</v>
      </c>
      <c r="F4">
        <v>0</v>
      </c>
      <c r="G4">
        <f t="shared" si="0"/>
        <v>0</v>
      </c>
      <c r="H4">
        <f t="shared" si="1"/>
        <v>0</v>
      </c>
    </row>
    <row r="5" spans="1:8" x14ac:dyDescent="0.2">
      <c r="A5">
        <v>1</v>
      </c>
      <c r="B5" t="s">
        <v>37</v>
      </c>
      <c r="C5">
        <v>36</v>
      </c>
      <c r="D5">
        <v>10</v>
      </c>
      <c r="E5">
        <v>0</v>
      </c>
      <c r="F5">
        <v>0</v>
      </c>
      <c r="G5">
        <f t="shared" si="0"/>
        <v>0</v>
      </c>
      <c r="H5">
        <f t="shared" si="1"/>
        <v>0</v>
      </c>
    </row>
    <row r="6" spans="1:8" x14ac:dyDescent="0.2">
      <c r="A6">
        <v>1</v>
      </c>
      <c r="B6" t="s">
        <v>37</v>
      </c>
      <c r="C6">
        <v>48</v>
      </c>
      <c r="D6">
        <v>1</v>
      </c>
      <c r="E6">
        <v>0</v>
      </c>
      <c r="F6">
        <v>0</v>
      </c>
      <c r="G6">
        <f t="shared" si="0"/>
        <v>0</v>
      </c>
      <c r="H6">
        <f t="shared" si="1"/>
        <v>0</v>
      </c>
    </row>
    <row r="7" spans="1:8" x14ac:dyDescent="0.2">
      <c r="A7">
        <v>2.012</v>
      </c>
      <c r="B7" t="s">
        <v>46</v>
      </c>
      <c r="C7">
        <v>27968</v>
      </c>
      <c r="D7">
        <v>5644</v>
      </c>
      <c r="E7">
        <v>49.29</v>
      </c>
      <c r="F7">
        <v>7.16</v>
      </c>
      <c r="G7">
        <f t="shared" si="0"/>
        <v>991.71479999999997</v>
      </c>
      <c r="H7">
        <f t="shared" si="1"/>
        <v>144.0592</v>
      </c>
    </row>
    <row r="8" spans="1:8" x14ac:dyDescent="0.2">
      <c r="A8">
        <v>1.972</v>
      </c>
      <c r="B8" t="s">
        <v>46</v>
      </c>
      <c r="C8">
        <v>39476</v>
      </c>
      <c r="D8">
        <v>8019</v>
      </c>
      <c r="E8">
        <v>71.09</v>
      </c>
      <c r="F8">
        <v>10.36</v>
      </c>
      <c r="G8">
        <f t="shared" si="0"/>
        <v>1401.8948000000003</v>
      </c>
      <c r="H8">
        <f t="shared" si="1"/>
        <v>204.29919999999998</v>
      </c>
    </row>
    <row r="9" spans="1:8" x14ac:dyDescent="0.2">
      <c r="A9">
        <v>2.8109999999999999</v>
      </c>
      <c r="B9" t="s">
        <v>46</v>
      </c>
      <c r="C9">
        <v>55608</v>
      </c>
      <c r="D9">
        <v>11375</v>
      </c>
      <c r="E9">
        <v>71.09</v>
      </c>
      <c r="F9">
        <v>10.36</v>
      </c>
      <c r="G9">
        <f t="shared" si="0"/>
        <v>1998.3399000000002</v>
      </c>
      <c r="H9">
        <f t="shared" si="1"/>
        <v>291.21959999999996</v>
      </c>
    </row>
    <row r="10" spans="1:8" x14ac:dyDescent="0.2">
      <c r="A10">
        <v>2.081</v>
      </c>
      <c r="B10" t="s">
        <v>46</v>
      </c>
      <c r="C10">
        <v>55653</v>
      </c>
      <c r="D10">
        <v>11369</v>
      </c>
      <c r="E10">
        <v>94.79</v>
      </c>
      <c r="F10">
        <v>13.9</v>
      </c>
      <c r="G10">
        <f t="shared" si="0"/>
        <v>1972.5799000000002</v>
      </c>
      <c r="H10">
        <f t="shared" si="1"/>
        <v>289.25900000000007</v>
      </c>
    </row>
    <row r="11" spans="1:8" x14ac:dyDescent="0.2">
      <c r="A11">
        <v>1.476</v>
      </c>
      <c r="B11" t="s">
        <v>46</v>
      </c>
      <c r="C11">
        <v>29692</v>
      </c>
      <c r="D11">
        <v>6012</v>
      </c>
      <c r="E11">
        <v>71.09</v>
      </c>
      <c r="F11">
        <v>10.36</v>
      </c>
      <c r="G11">
        <f t="shared" si="0"/>
        <v>1049.2883999999999</v>
      </c>
      <c r="H11">
        <f t="shared" si="1"/>
        <v>152.91359999999997</v>
      </c>
    </row>
    <row r="12" spans="1:8" x14ac:dyDescent="0.2">
      <c r="A12">
        <v>14.117000000000001</v>
      </c>
      <c r="B12" t="s">
        <v>53</v>
      </c>
      <c r="C12">
        <v>10925</v>
      </c>
      <c r="D12">
        <v>1502</v>
      </c>
      <c r="E12">
        <v>2.74</v>
      </c>
      <c r="F12">
        <v>0.28000000000000003</v>
      </c>
      <c r="G12">
        <f t="shared" si="0"/>
        <v>386.80580000000003</v>
      </c>
      <c r="H12">
        <f t="shared" si="1"/>
        <v>39.527600000000007</v>
      </c>
    </row>
    <row r="13" spans="1:8" x14ac:dyDescent="0.2">
      <c r="A13">
        <v>2.0190000000000001</v>
      </c>
      <c r="B13" t="s">
        <v>110</v>
      </c>
      <c r="C13">
        <v>34303</v>
      </c>
      <c r="D13">
        <v>215</v>
      </c>
      <c r="E13">
        <v>60.48</v>
      </c>
      <c r="F13">
        <v>0.32</v>
      </c>
      <c r="G13">
        <f t="shared" si="0"/>
        <v>1221.0912000000001</v>
      </c>
      <c r="H13">
        <f t="shared" si="1"/>
        <v>6.4608000000000008</v>
      </c>
    </row>
    <row r="14" spans="1:8" x14ac:dyDescent="0.2">
      <c r="A14">
        <v>1.5369999999999999</v>
      </c>
      <c r="B14" t="s">
        <v>111</v>
      </c>
      <c r="C14">
        <v>26192</v>
      </c>
      <c r="D14">
        <v>139</v>
      </c>
      <c r="E14">
        <v>60.68</v>
      </c>
      <c r="F14">
        <v>0.3</v>
      </c>
      <c r="G14">
        <f t="shared" si="0"/>
        <v>932.65159999999992</v>
      </c>
      <c r="H14">
        <f t="shared" si="1"/>
        <v>4.6109999999999998</v>
      </c>
    </row>
    <row r="15" spans="1:8" x14ac:dyDescent="0.2">
      <c r="A15">
        <v>1.851</v>
      </c>
      <c r="B15" t="s">
        <v>112</v>
      </c>
      <c r="C15">
        <v>32890</v>
      </c>
      <c r="D15">
        <v>185</v>
      </c>
      <c r="E15">
        <v>63.26</v>
      </c>
      <c r="F15">
        <v>0.31</v>
      </c>
      <c r="G15">
        <f t="shared" si="0"/>
        <v>1170.9425999999999</v>
      </c>
      <c r="H15">
        <f t="shared" si="1"/>
        <v>5.7380999999999993</v>
      </c>
    </row>
    <row r="16" spans="1:8" x14ac:dyDescent="0.2">
      <c r="A16">
        <v>1.4330000000000001</v>
      </c>
      <c r="B16" t="s">
        <v>113</v>
      </c>
      <c r="C16">
        <v>24370</v>
      </c>
      <c r="D16">
        <v>125</v>
      </c>
      <c r="E16">
        <v>60.56</v>
      </c>
      <c r="F16">
        <v>0.3</v>
      </c>
      <c r="G16">
        <f t="shared" si="0"/>
        <v>867.8248000000001</v>
      </c>
      <c r="H16">
        <f t="shared" si="1"/>
        <v>4.2989999999999995</v>
      </c>
    </row>
    <row r="17" spans="1:8" x14ac:dyDescent="0.2">
      <c r="A17">
        <v>2.2069999999999999</v>
      </c>
      <c r="B17" t="s">
        <v>114</v>
      </c>
      <c r="C17">
        <v>38834</v>
      </c>
      <c r="D17">
        <v>250</v>
      </c>
      <c r="E17">
        <v>62.63</v>
      </c>
      <c r="F17">
        <v>0.34</v>
      </c>
      <c r="G17">
        <f t="shared" si="0"/>
        <v>1382.2441000000001</v>
      </c>
      <c r="H17">
        <f t="shared" si="1"/>
        <v>7.5038</v>
      </c>
    </row>
    <row r="18" spans="1:8" x14ac:dyDescent="0.2">
      <c r="A18">
        <v>1.75</v>
      </c>
      <c r="B18" t="s">
        <v>115</v>
      </c>
      <c r="C18">
        <v>30598</v>
      </c>
      <c r="D18">
        <v>0</v>
      </c>
      <c r="E18">
        <v>62.25</v>
      </c>
      <c r="F18">
        <v>0</v>
      </c>
      <c r="G18">
        <f t="shared" si="0"/>
        <v>1089.375</v>
      </c>
      <c r="H18">
        <f t="shared" si="1"/>
        <v>0</v>
      </c>
    </row>
    <row r="19" spans="1:8" x14ac:dyDescent="0.2">
      <c r="A19">
        <v>1.696</v>
      </c>
      <c r="B19" t="s">
        <v>116</v>
      </c>
      <c r="C19">
        <v>18805</v>
      </c>
      <c r="D19">
        <v>2752</v>
      </c>
      <c r="E19">
        <v>39.47</v>
      </c>
      <c r="F19">
        <v>4.18</v>
      </c>
      <c r="G19">
        <f t="shared" si="0"/>
        <v>669.41120000000001</v>
      </c>
      <c r="H19">
        <f t="shared" si="1"/>
        <v>70.892799999999994</v>
      </c>
    </row>
    <row r="20" spans="1:8" x14ac:dyDescent="0.2">
      <c r="A20">
        <v>4.3840000000000003</v>
      </c>
      <c r="B20" t="s">
        <v>117</v>
      </c>
      <c r="C20">
        <v>54342</v>
      </c>
      <c r="D20">
        <v>6200</v>
      </c>
      <c r="E20">
        <v>44.12</v>
      </c>
      <c r="F20">
        <v>3.61</v>
      </c>
      <c r="G20">
        <f t="shared" si="0"/>
        <v>1934.2208000000001</v>
      </c>
      <c r="H20">
        <f t="shared" si="1"/>
        <v>158.26240000000001</v>
      </c>
    </row>
    <row r="21" spans="1:8" x14ac:dyDescent="0.2">
      <c r="A21">
        <v>2.5310000000000001</v>
      </c>
      <c r="B21" t="s">
        <v>118</v>
      </c>
      <c r="C21">
        <v>32340</v>
      </c>
      <c r="D21">
        <v>4375</v>
      </c>
      <c r="E21">
        <v>45.49</v>
      </c>
      <c r="F21">
        <v>4.43</v>
      </c>
      <c r="G21">
        <f t="shared" si="0"/>
        <v>1151.3519000000001</v>
      </c>
      <c r="H21">
        <f t="shared" si="1"/>
        <v>112.12330000000001</v>
      </c>
    </row>
    <row r="22" spans="1:8" x14ac:dyDescent="0.2">
      <c r="A22">
        <v>4.5389999999999997</v>
      </c>
      <c r="B22" t="s">
        <v>119</v>
      </c>
      <c r="C22">
        <v>55901</v>
      </c>
      <c r="D22">
        <v>7679</v>
      </c>
      <c r="E22">
        <v>43.83</v>
      </c>
      <c r="F22">
        <v>4.3099999999999996</v>
      </c>
      <c r="G22">
        <f t="shared" si="0"/>
        <v>1989.4436999999998</v>
      </c>
      <c r="H22">
        <f t="shared" si="1"/>
        <v>195.6309</v>
      </c>
    </row>
    <row r="23" spans="1:8" x14ac:dyDescent="0.2">
      <c r="A23">
        <v>4.5979999999999999</v>
      </c>
      <c r="B23" t="s">
        <v>120</v>
      </c>
      <c r="C23">
        <v>55400</v>
      </c>
      <c r="D23">
        <v>6470</v>
      </c>
      <c r="E23">
        <v>42.88</v>
      </c>
      <c r="F23">
        <v>3.59</v>
      </c>
      <c r="G23">
        <f t="shared" si="0"/>
        <v>1971.6224</v>
      </c>
      <c r="H23">
        <f t="shared" si="1"/>
        <v>165.06819999999999</v>
      </c>
    </row>
    <row r="24" spans="1:8" x14ac:dyDescent="0.2">
      <c r="A24">
        <v>4.6159999999999997</v>
      </c>
      <c r="B24" t="s">
        <v>121</v>
      </c>
      <c r="C24">
        <v>56427</v>
      </c>
      <c r="D24">
        <v>6327</v>
      </c>
      <c r="E24">
        <v>43.51</v>
      </c>
      <c r="F24">
        <v>3.5</v>
      </c>
      <c r="G24">
        <f t="shared" si="0"/>
        <v>2008.4215999999997</v>
      </c>
      <c r="H24">
        <f t="shared" si="1"/>
        <v>161.56</v>
      </c>
    </row>
    <row r="25" spans="1:8" x14ac:dyDescent="0.2">
      <c r="A25">
        <v>1</v>
      </c>
      <c r="B25" t="s">
        <v>43</v>
      </c>
      <c r="C25">
        <v>67</v>
      </c>
      <c r="D25">
        <v>0</v>
      </c>
      <c r="E25">
        <v>0</v>
      </c>
      <c r="F25">
        <v>0</v>
      </c>
      <c r="G25">
        <f t="shared" si="0"/>
        <v>0</v>
      </c>
      <c r="H25">
        <f t="shared" si="1"/>
        <v>0</v>
      </c>
    </row>
    <row r="26" spans="1:8" x14ac:dyDescent="0.2">
      <c r="A26">
        <v>1.3109999999999999</v>
      </c>
      <c r="B26" t="s">
        <v>34</v>
      </c>
      <c r="C26">
        <v>26451</v>
      </c>
      <c r="D26">
        <v>5304</v>
      </c>
      <c r="E26">
        <v>71.540000000000006</v>
      </c>
      <c r="F26">
        <v>10.33</v>
      </c>
      <c r="G26">
        <f t="shared" si="0"/>
        <v>937.88940000000002</v>
      </c>
      <c r="H26">
        <f t="shared" si="1"/>
        <v>135.4263</v>
      </c>
    </row>
    <row r="27" spans="1:8" x14ac:dyDescent="0.2">
      <c r="A27">
        <v>5.7110000000000003</v>
      </c>
      <c r="B27" t="s">
        <v>122</v>
      </c>
      <c r="C27">
        <v>4560</v>
      </c>
      <c r="D27">
        <v>629</v>
      </c>
      <c r="E27">
        <v>2.83</v>
      </c>
      <c r="F27">
        <v>0.3</v>
      </c>
      <c r="G27">
        <f t="shared" si="0"/>
        <v>161.62130000000002</v>
      </c>
      <c r="H27">
        <f t="shared" si="1"/>
        <v>17.133000000000003</v>
      </c>
    </row>
    <row r="28" spans="1:8" x14ac:dyDescent="0.2">
      <c r="A28">
        <v>3.754</v>
      </c>
      <c r="B28" t="s">
        <v>123</v>
      </c>
      <c r="C28">
        <v>46943</v>
      </c>
      <c r="D28">
        <v>4794</v>
      </c>
      <c r="E28">
        <v>44.51</v>
      </c>
      <c r="F28">
        <v>3.27</v>
      </c>
      <c r="G28">
        <f t="shared" si="0"/>
        <v>1670.9054000000001</v>
      </c>
      <c r="H28">
        <f t="shared" si="1"/>
        <v>122.75579999999999</v>
      </c>
    </row>
    <row r="29" spans="1:8" x14ac:dyDescent="0.2">
      <c r="A29">
        <v>2.1960000000000002</v>
      </c>
      <c r="B29" t="s">
        <v>124</v>
      </c>
      <c r="C29">
        <v>27805</v>
      </c>
      <c r="D29">
        <v>3306</v>
      </c>
      <c r="E29">
        <v>45.08</v>
      </c>
      <c r="F29">
        <v>3.87</v>
      </c>
      <c r="G29">
        <f t="shared" si="0"/>
        <v>989.95680000000004</v>
      </c>
      <c r="H29">
        <f t="shared" si="1"/>
        <v>84.985199999999992</v>
      </c>
    </row>
    <row r="30" spans="1:8" x14ac:dyDescent="0.2">
      <c r="A30">
        <v>3.2879999999999998</v>
      </c>
      <c r="B30" t="s">
        <v>125</v>
      </c>
      <c r="C30">
        <v>39962</v>
      </c>
      <c r="D30">
        <v>4403</v>
      </c>
      <c r="E30">
        <v>43.26</v>
      </c>
      <c r="F30">
        <v>3.43</v>
      </c>
      <c r="G30">
        <f t="shared" si="0"/>
        <v>1422.3887999999997</v>
      </c>
      <c r="H30">
        <f t="shared" si="1"/>
        <v>112.7784</v>
      </c>
    </row>
    <row r="31" spans="1:8" x14ac:dyDescent="0.2">
      <c r="A31">
        <v>4.7629999999999999</v>
      </c>
      <c r="B31" t="s">
        <v>126</v>
      </c>
      <c r="C31">
        <v>59048</v>
      </c>
      <c r="D31">
        <v>5602</v>
      </c>
      <c r="E31">
        <v>44.12</v>
      </c>
      <c r="F31">
        <v>3.01</v>
      </c>
      <c r="G31">
        <f t="shared" si="0"/>
        <v>2101.4355999999998</v>
      </c>
      <c r="H31">
        <f t="shared" si="1"/>
        <v>143.3663</v>
      </c>
    </row>
    <row r="32" spans="1:8" x14ac:dyDescent="0.2">
      <c r="A32">
        <v>3.9369999999999998</v>
      </c>
      <c r="B32" t="s">
        <v>127</v>
      </c>
      <c r="C32">
        <v>48347</v>
      </c>
      <c r="D32">
        <v>6069</v>
      </c>
      <c r="E32">
        <v>43.71</v>
      </c>
      <c r="F32">
        <v>3.94</v>
      </c>
      <c r="G32">
        <f t="shared" si="0"/>
        <v>1720.8626999999999</v>
      </c>
      <c r="H32">
        <f t="shared" si="1"/>
        <v>155.11779999999996</v>
      </c>
    </row>
    <row r="33" spans="1:8" x14ac:dyDescent="0.2">
      <c r="A33">
        <v>2.004</v>
      </c>
      <c r="B33" t="s">
        <v>128</v>
      </c>
      <c r="C33">
        <v>24916</v>
      </c>
      <c r="D33">
        <v>2788</v>
      </c>
      <c r="E33">
        <v>44.27</v>
      </c>
      <c r="F33">
        <v>3.58</v>
      </c>
      <c r="G33">
        <f t="shared" ref="G33:G60" si="2">A33*(E33/100)*1000</f>
        <v>887.17079999999999</v>
      </c>
      <c r="H33">
        <f t="shared" ref="H33:H60" si="3">A33*(F33/100)*1000</f>
        <v>71.743199999999987</v>
      </c>
    </row>
    <row r="34" spans="1:8" x14ac:dyDescent="0.2">
      <c r="A34">
        <v>2.0099999999999998</v>
      </c>
      <c r="B34" t="s">
        <v>129</v>
      </c>
      <c r="C34">
        <v>24698</v>
      </c>
      <c r="D34">
        <v>2764</v>
      </c>
      <c r="E34">
        <v>43.75</v>
      </c>
      <c r="F34">
        <v>3.54</v>
      </c>
      <c r="G34">
        <f t="shared" si="2"/>
        <v>879.37499999999989</v>
      </c>
      <c r="H34">
        <f t="shared" si="3"/>
        <v>71.153999999999996</v>
      </c>
    </row>
    <row r="35" spans="1:8" x14ac:dyDescent="0.2">
      <c r="A35">
        <v>2.0059999999999998</v>
      </c>
      <c r="B35" t="s">
        <v>130</v>
      </c>
      <c r="C35">
        <v>24321</v>
      </c>
      <c r="D35">
        <v>2629</v>
      </c>
      <c r="E35">
        <v>43.17</v>
      </c>
      <c r="F35">
        <v>3.38</v>
      </c>
      <c r="G35">
        <f t="shared" si="2"/>
        <v>865.99019999999996</v>
      </c>
      <c r="H35">
        <f t="shared" si="3"/>
        <v>67.802799999999976</v>
      </c>
    </row>
    <row r="36" spans="1:8" x14ac:dyDescent="0.2">
      <c r="A36">
        <v>3.2690000000000001</v>
      </c>
      <c r="B36" t="s">
        <v>131</v>
      </c>
      <c r="C36">
        <v>37058</v>
      </c>
      <c r="D36">
        <v>4941</v>
      </c>
      <c r="E36">
        <v>40.35</v>
      </c>
      <c r="F36">
        <v>3.87</v>
      </c>
      <c r="G36">
        <f t="shared" si="2"/>
        <v>1319.0415000000003</v>
      </c>
      <c r="H36">
        <f t="shared" si="3"/>
        <v>126.51029999999999</v>
      </c>
    </row>
    <row r="37" spans="1:8" x14ac:dyDescent="0.2">
      <c r="A37">
        <v>4.6020000000000003</v>
      </c>
      <c r="B37" t="s">
        <v>132</v>
      </c>
      <c r="C37">
        <v>48054</v>
      </c>
      <c r="D37">
        <v>3812</v>
      </c>
      <c r="E37">
        <v>37.17</v>
      </c>
      <c r="F37">
        <v>2.12</v>
      </c>
      <c r="G37">
        <f t="shared" si="2"/>
        <v>1710.5634000000002</v>
      </c>
      <c r="H37">
        <f t="shared" si="3"/>
        <v>97.562400000000011</v>
      </c>
    </row>
    <row r="38" spans="1:8" x14ac:dyDescent="0.2">
      <c r="A38">
        <v>2.9180000000000001</v>
      </c>
      <c r="B38" t="s">
        <v>133</v>
      </c>
      <c r="C38">
        <v>29322</v>
      </c>
      <c r="D38">
        <v>4120</v>
      </c>
      <c r="E38">
        <v>35.78</v>
      </c>
      <c r="F38">
        <v>3.62</v>
      </c>
      <c r="G38">
        <f t="shared" si="2"/>
        <v>1044.0604000000001</v>
      </c>
      <c r="H38">
        <f t="shared" si="3"/>
        <v>105.63160000000002</v>
      </c>
    </row>
    <row r="39" spans="1:8" x14ac:dyDescent="0.2">
      <c r="A39">
        <v>2.7589999999999999</v>
      </c>
      <c r="B39" t="s">
        <v>134</v>
      </c>
      <c r="C39">
        <v>31557</v>
      </c>
      <c r="D39">
        <v>3205</v>
      </c>
      <c r="E39">
        <v>40.72</v>
      </c>
      <c r="F39">
        <v>2.99</v>
      </c>
      <c r="G39">
        <f t="shared" si="2"/>
        <v>1123.4648</v>
      </c>
      <c r="H39">
        <f t="shared" si="3"/>
        <v>82.494100000000003</v>
      </c>
    </row>
    <row r="40" spans="1:8" x14ac:dyDescent="0.2">
      <c r="A40">
        <v>1</v>
      </c>
      <c r="B40" t="s">
        <v>43</v>
      </c>
      <c r="C40">
        <v>64</v>
      </c>
      <c r="D40">
        <v>21</v>
      </c>
      <c r="E40">
        <v>0</v>
      </c>
      <c r="F40">
        <v>0</v>
      </c>
      <c r="G40">
        <f t="shared" si="2"/>
        <v>0</v>
      </c>
      <c r="H40">
        <f t="shared" si="3"/>
        <v>0</v>
      </c>
    </row>
    <row r="41" spans="1:8" x14ac:dyDescent="0.2">
      <c r="A41">
        <v>2.7349999999999999</v>
      </c>
      <c r="B41" t="s">
        <v>34</v>
      </c>
      <c r="C41">
        <v>55399</v>
      </c>
      <c r="D41">
        <v>11244</v>
      </c>
      <c r="E41">
        <v>71.790000000000006</v>
      </c>
      <c r="F41">
        <v>10.46</v>
      </c>
      <c r="G41">
        <f t="shared" si="2"/>
        <v>1963.4565000000002</v>
      </c>
      <c r="H41">
        <f t="shared" si="3"/>
        <v>286.08100000000002</v>
      </c>
    </row>
    <row r="42" spans="1:8" x14ac:dyDescent="0.2">
      <c r="A42">
        <v>6.5149999999999997</v>
      </c>
      <c r="B42" t="s">
        <v>122</v>
      </c>
      <c r="C42">
        <v>5362</v>
      </c>
      <c r="D42">
        <v>795</v>
      </c>
      <c r="E42">
        <v>2.91</v>
      </c>
      <c r="F42">
        <v>0.33</v>
      </c>
      <c r="G42">
        <f t="shared" si="2"/>
        <v>189.5865</v>
      </c>
      <c r="H42">
        <f t="shared" si="3"/>
        <v>21.499499999999998</v>
      </c>
    </row>
    <row r="43" spans="1:8" x14ac:dyDescent="0.2">
      <c r="A43">
        <v>5.4640000000000004</v>
      </c>
      <c r="B43" t="s">
        <v>135</v>
      </c>
      <c r="C43">
        <v>67245</v>
      </c>
      <c r="D43">
        <v>6143</v>
      </c>
      <c r="E43">
        <v>43.8</v>
      </c>
      <c r="F43">
        <v>2.87</v>
      </c>
      <c r="G43">
        <f t="shared" si="2"/>
        <v>2393.232</v>
      </c>
      <c r="H43">
        <f t="shared" si="3"/>
        <v>156.8168</v>
      </c>
    </row>
    <row r="44" spans="1:8" x14ac:dyDescent="0.2">
      <c r="A44">
        <v>4.05</v>
      </c>
      <c r="B44" t="s">
        <v>136</v>
      </c>
      <c r="C44">
        <v>48790</v>
      </c>
      <c r="D44">
        <v>4132</v>
      </c>
      <c r="E44">
        <v>42.88</v>
      </c>
      <c r="F44">
        <v>2.61</v>
      </c>
      <c r="G44">
        <f t="shared" si="2"/>
        <v>1736.6399999999999</v>
      </c>
      <c r="H44">
        <f t="shared" si="3"/>
        <v>105.705</v>
      </c>
    </row>
    <row r="45" spans="1:8" x14ac:dyDescent="0.2">
      <c r="A45">
        <v>3.1589999999999998</v>
      </c>
      <c r="B45" t="s">
        <v>137</v>
      </c>
      <c r="C45">
        <v>38566</v>
      </c>
      <c r="D45">
        <v>3396</v>
      </c>
      <c r="E45">
        <v>43.46</v>
      </c>
      <c r="F45">
        <v>2.76</v>
      </c>
      <c r="G45">
        <f t="shared" si="2"/>
        <v>1372.9014</v>
      </c>
      <c r="H45">
        <f t="shared" si="3"/>
        <v>87.188400000000001</v>
      </c>
    </row>
    <row r="46" spans="1:8" x14ac:dyDescent="0.2">
      <c r="A46">
        <v>5.66</v>
      </c>
      <c r="B46" t="s">
        <v>138</v>
      </c>
      <c r="C46">
        <v>68910</v>
      </c>
      <c r="D46">
        <v>7178</v>
      </c>
      <c r="E46">
        <v>43.33</v>
      </c>
      <c r="F46">
        <v>3.24</v>
      </c>
      <c r="G46">
        <f t="shared" si="2"/>
        <v>2452.4779999999996</v>
      </c>
      <c r="H46">
        <f t="shared" si="3"/>
        <v>183.38400000000004</v>
      </c>
    </row>
    <row r="47" spans="1:8" x14ac:dyDescent="0.2">
      <c r="A47">
        <v>5.641</v>
      </c>
      <c r="B47" t="s">
        <v>139</v>
      </c>
      <c r="C47">
        <v>55657</v>
      </c>
      <c r="D47">
        <v>5379</v>
      </c>
      <c r="E47">
        <v>35.11</v>
      </c>
      <c r="F47">
        <v>2.44</v>
      </c>
      <c r="G47">
        <f t="shared" si="2"/>
        <v>1980.5550999999998</v>
      </c>
      <c r="H47">
        <f t="shared" si="3"/>
        <v>137.6404</v>
      </c>
    </row>
    <row r="48" spans="1:8" x14ac:dyDescent="0.2">
      <c r="A48">
        <v>3.1960000000000002</v>
      </c>
      <c r="B48" t="s">
        <v>140</v>
      </c>
      <c r="C48">
        <v>38362</v>
      </c>
      <c r="D48">
        <v>3073</v>
      </c>
      <c r="E48">
        <v>42.73</v>
      </c>
      <c r="F48">
        <v>2.4700000000000002</v>
      </c>
      <c r="G48">
        <f t="shared" si="2"/>
        <v>1365.6507999999999</v>
      </c>
      <c r="H48">
        <f t="shared" si="3"/>
        <v>78.941200000000023</v>
      </c>
    </row>
    <row r="49" spans="1:8" x14ac:dyDescent="0.2">
      <c r="A49">
        <v>2.0920000000000001</v>
      </c>
      <c r="B49" t="s">
        <v>141</v>
      </c>
      <c r="C49">
        <v>25744</v>
      </c>
      <c r="D49">
        <v>2394</v>
      </c>
      <c r="E49">
        <v>43.82</v>
      </c>
      <c r="F49">
        <v>2.95</v>
      </c>
      <c r="G49">
        <f t="shared" si="2"/>
        <v>916.71440000000007</v>
      </c>
      <c r="H49">
        <f t="shared" si="3"/>
        <v>61.714000000000006</v>
      </c>
    </row>
    <row r="50" spans="1:8" x14ac:dyDescent="0.2">
      <c r="A50">
        <v>2.3359999999999999</v>
      </c>
      <c r="B50" t="s">
        <v>142</v>
      </c>
      <c r="C50">
        <v>28551</v>
      </c>
      <c r="D50">
        <v>2515</v>
      </c>
      <c r="E50">
        <v>43.51</v>
      </c>
      <c r="F50">
        <v>2.78</v>
      </c>
      <c r="G50">
        <f t="shared" si="2"/>
        <v>1016.3936</v>
      </c>
      <c r="H50">
        <f t="shared" si="3"/>
        <v>64.940799999999996</v>
      </c>
    </row>
    <row r="51" spans="1:8" x14ac:dyDescent="0.2">
      <c r="A51">
        <v>2.6419999999999999</v>
      </c>
      <c r="B51" t="s">
        <v>143</v>
      </c>
      <c r="C51">
        <v>32784</v>
      </c>
      <c r="D51">
        <v>3036</v>
      </c>
      <c r="E51">
        <v>44.18</v>
      </c>
      <c r="F51">
        <v>2.96</v>
      </c>
      <c r="G51">
        <f t="shared" si="2"/>
        <v>1167.2356</v>
      </c>
      <c r="H51">
        <f t="shared" si="3"/>
        <v>78.203199999999995</v>
      </c>
    </row>
    <row r="52" spans="1:8" x14ac:dyDescent="0.2">
      <c r="A52">
        <v>2.5129999999999999</v>
      </c>
      <c r="B52" t="s">
        <v>144</v>
      </c>
      <c r="C52">
        <v>31489</v>
      </c>
      <c r="D52">
        <v>3160</v>
      </c>
      <c r="E52">
        <v>44.61</v>
      </c>
      <c r="F52">
        <v>3.23</v>
      </c>
      <c r="G52">
        <f t="shared" si="2"/>
        <v>1121.0492999999999</v>
      </c>
      <c r="H52">
        <f t="shared" si="3"/>
        <v>81.169899999999998</v>
      </c>
    </row>
    <row r="53" spans="1:8" x14ac:dyDescent="0.2">
      <c r="A53">
        <v>4.9800000000000004</v>
      </c>
      <c r="B53" t="s">
        <v>145</v>
      </c>
      <c r="C53">
        <v>57787</v>
      </c>
      <c r="D53">
        <v>7302</v>
      </c>
      <c r="E53">
        <v>41.3</v>
      </c>
      <c r="F53">
        <v>3.74</v>
      </c>
      <c r="G53">
        <f t="shared" si="2"/>
        <v>2056.7400000000002</v>
      </c>
      <c r="H53">
        <f t="shared" si="3"/>
        <v>186.25200000000004</v>
      </c>
    </row>
    <row r="54" spans="1:8" x14ac:dyDescent="0.2">
      <c r="A54">
        <v>2.6259999999999999</v>
      </c>
      <c r="B54" t="s">
        <v>146</v>
      </c>
      <c r="C54">
        <v>32072</v>
      </c>
      <c r="D54">
        <v>4731</v>
      </c>
      <c r="E54">
        <v>43.48</v>
      </c>
      <c r="F54">
        <v>4.6100000000000003</v>
      </c>
      <c r="G54">
        <f t="shared" si="2"/>
        <v>1141.7847999999999</v>
      </c>
      <c r="H54">
        <f t="shared" si="3"/>
        <v>121.0586</v>
      </c>
    </row>
    <row r="55" spans="1:8" x14ac:dyDescent="0.2">
      <c r="A55">
        <v>1</v>
      </c>
      <c r="B55" t="s">
        <v>37</v>
      </c>
      <c r="C55">
        <v>61</v>
      </c>
      <c r="D55">
        <v>9</v>
      </c>
      <c r="E55">
        <v>0</v>
      </c>
      <c r="F55">
        <v>0</v>
      </c>
      <c r="G55">
        <f t="shared" si="2"/>
        <v>0</v>
      </c>
      <c r="H55">
        <f t="shared" si="3"/>
        <v>0</v>
      </c>
    </row>
    <row r="56" spans="1:8" x14ac:dyDescent="0.2">
      <c r="A56">
        <v>8.09</v>
      </c>
      <c r="B56" t="s">
        <v>53</v>
      </c>
      <c r="C56">
        <v>6572</v>
      </c>
      <c r="D56">
        <v>919</v>
      </c>
      <c r="E56">
        <v>2.88</v>
      </c>
      <c r="F56">
        <v>0.3</v>
      </c>
      <c r="G56">
        <f t="shared" si="2"/>
        <v>232.99199999999999</v>
      </c>
      <c r="H56">
        <f t="shared" si="3"/>
        <v>24.27</v>
      </c>
    </row>
    <row r="57" spans="1:8" x14ac:dyDescent="0.2">
      <c r="A57">
        <v>2.3439999999999999</v>
      </c>
      <c r="B57" t="s">
        <v>46</v>
      </c>
      <c r="C57">
        <v>46785</v>
      </c>
      <c r="D57">
        <v>9654</v>
      </c>
      <c r="E57">
        <v>71.09</v>
      </c>
      <c r="F57">
        <v>10.36</v>
      </c>
      <c r="G57">
        <f t="shared" si="2"/>
        <v>1666.3496000000002</v>
      </c>
      <c r="H57">
        <f t="shared" si="3"/>
        <v>242.83839999999998</v>
      </c>
    </row>
    <row r="58" spans="1:8" x14ac:dyDescent="0.2">
      <c r="A58">
        <v>1.6419999999999999</v>
      </c>
      <c r="B58" t="s">
        <v>46</v>
      </c>
      <c r="C58">
        <v>32989</v>
      </c>
      <c r="D58">
        <v>6812</v>
      </c>
      <c r="E58">
        <v>71.09</v>
      </c>
      <c r="F58">
        <v>10.36</v>
      </c>
      <c r="G58">
        <f t="shared" si="2"/>
        <v>1167.2978000000001</v>
      </c>
      <c r="H58">
        <f t="shared" si="3"/>
        <v>170.1112</v>
      </c>
    </row>
    <row r="59" spans="1:8" x14ac:dyDescent="0.2">
      <c r="A59">
        <v>1.669</v>
      </c>
      <c r="B59" t="s">
        <v>46</v>
      </c>
      <c r="C59">
        <v>33650</v>
      </c>
      <c r="D59">
        <v>6953</v>
      </c>
      <c r="E59">
        <v>71.09</v>
      </c>
      <c r="F59">
        <v>10.36</v>
      </c>
      <c r="G59">
        <f t="shared" si="2"/>
        <v>1186.4921000000002</v>
      </c>
      <c r="H59">
        <f t="shared" si="3"/>
        <v>172.9084</v>
      </c>
    </row>
    <row r="60" spans="1:8" x14ac:dyDescent="0.2">
      <c r="A60">
        <v>1.641</v>
      </c>
      <c r="B60" t="s">
        <v>46</v>
      </c>
      <c r="C60">
        <v>33514</v>
      </c>
      <c r="D60">
        <v>6811</v>
      </c>
      <c r="E60">
        <v>71.09</v>
      </c>
      <c r="F60">
        <v>10.36</v>
      </c>
      <c r="G60">
        <f t="shared" si="2"/>
        <v>1166.5869000000002</v>
      </c>
      <c r="H60">
        <f t="shared" si="3"/>
        <v>170.0076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FAEA4E-E47F-453C-90C1-0ADB9A489A3A}">
  <dimension ref="A1:H36"/>
  <sheetViews>
    <sheetView workbookViewId="0">
      <selection activeCell="E35" sqref="E35"/>
    </sheetView>
  </sheetViews>
  <sheetFormatPr baseColWidth="10" defaultColWidth="8.83203125" defaultRowHeight="15" x14ac:dyDescent="0.2"/>
  <cols>
    <col min="1" max="1" width="13.33203125" bestFit="1" customWidth="1"/>
    <col min="2" max="2" width="12.5" bestFit="1" customWidth="1"/>
  </cols>
  <sheetData>
    <row r="1" spans="1:8" x14ac:dyDescent="0.2">
      <c r="A1" s="2" t="s">
        <v>25</v>
      </c>
      <c r="B1" s="3"/>
      <c r="C1" s="4"/>
      <c r="D1" s="5"/>
      <c r="E1" s="75" t="s">
        <v>26</v>
      </c>
      <c r="F1" s="76"/>
      <c r="G1" s="6" t="s">
        <v>27</v>
      </c>
      <c r="H1" s="7"/>
    </row>
    <row r="2" spans="1:8" s="11" customFormat="1" x14ac:dyDescent="0.2">
      <c r="A2" s="8" t="s">
        <v>1</v>
      </c>
      <c r="B2" s="8" t="s">
        <v>0</v>
      </c>
      <c r="C2" s="9" t="s">
        <v>6</v>
      </c>
      <c r="D2" s="10" t="s">
        <v>5</v>
      </c>
      <c r="E2" s="9" t="s">
        <v>29</v>
      </c>
      <c r="F2" s="10" t="s">
        <v>30</v>
      </c>
      <c r="G2" s="9" t="s">
        <v>29</v>
      </c>
      <c r="H2" s="10" t="s">
        <v>30</v>
      </c>
    </row>
    <row r="3" spans="1:8" x14ac:dyDescent="0.2">
      <c r="A3" s="12" t="s">
        <v>31</v>
      </c>
      <c r="B3" s="5"/>
      <c r="C3" s="66"/>
      <c r="D3" s="67"/>
      <c r="E3" s="66">
        <v>1.07</v>
      </c>
      <c r="F3" s="67">
        <v>0.1</v>
      </c>
      <c r="G3" s="15" t="e">
        <f>#REF!/E3</f>
        <v>#REF!</v>
      </c>
      <c r="H3" s="16" t="e">
        <f>#REF!/F3</f>
        <v>#REF!</v>
      </c>
    </row>
    <row r="4" spans="1:8" x14ac:dyDescent="0.2">
      <c r="A4" s="12" t="s">
        <v>31</v>
      </c>
      <c r="B4" s="14"/>
      <c r="C4" s="66"/>
      <c r="D4" s="67"/>
      <c r="E4" s="13"/>
      <c r="F4" s="14"/>
      <c r="G4" s="15"/>
      <c r="H4" s="16"/>
    </row>
    <row r="5" spans="1:8" x14ac:dyDescent="0.2">
      <c r="A5" s="12" t="s">
        <v>31</v>
      </c>
      <c r="B5" s="14"/>
      <c r="C5" s="66"/>
      <c r="D5" s="67"/>
      <c r="E5" s="13"/>
      <c r="F5" s="14"/>
      <c r="G5" s="15"/>
      <c r="H5" s="16"/>
    </row>
    <row r="6" spans="1:8" x14ac:dyDescent="0.2">
      <c r="A6" s="12" t="s">
        <v>31</v>
      </c>
      <c r="B6" s="14"/>
      <c r="C6" s="66"/>
      <c r="D6" s="67"/>
      <c r="E6" s="13"/>
      <c r="F6" s="14"/>
      <c r="G6" s="15"/>
      <c r="H6" s="16"/>
    </row>
    <row r="7" spans="1:8" x14ac:dyDescent="0.2">
      <c r="A7" s="17" t="s">
        <v>32</v>
      </c>
      <c r="B7" s="18"/>
      <c r="C7" s="64"/>
      <c r="D7" s="65"/>
      <c r="E7" s="64">
        <v>47.5</v>
      </c>
      <c r="F7" s="65">
        <v>1.1599999999999999</v>
      </c>
      <c r="G7" s="19" t="e">
        <f>#REF!/E7</f>
        <v>#REF!</v>
      </c>
      <c r="H7" s="20" t="e">
        <f>#REF!/F7</f>
        <v>#REF!</v>
      </c>
    </row>
    <row r="8" spans="1:8" x14ac:dyDescent="0.2">
      <c r="A8" s="17" t="s">
        <v>32</v>
      </c>
      <c r="B8" s="21"/>
      <c r="C8" s="68"/>
      <c r="D8" s="69"/>
      <c r="E8" s="22"/>
      <c r="F8" s="21"/>
      <c r="G8" s="22"/>
      <c r="H8" s="21"/>
    </row>
    <row r="9" spans="1:8" x14ac:dyDescent="0.2">
      <c r="A9" s="17" t="s">
        <v>32</v>
      </c>
      <c r="B9" s="21"/>
      <c r="C9" s="68"/>
      <c r="D9" s="69"/>
      <c r="E9" s="22"/>
      <c r="F9" s="21"/>
      <c r="G9" s="22"/>
      <c r="H9" s="21"/>
    </row>
    <row r="10" spans="1:8" x14ac:dyDescent="0.2">
      <c r="A10" s="17" t="s">
        <v>32</v>
      </c>
      <c r="B10" s="21"/>
      <c r="C10" s="68"/>
      <c r="D10" s="69"/>
      <c r="E10" s="22"/>
      <c r="F10" s="21"/>
      <c r="G10" s="22"/>
      <c r="H10" s="21"/>
    </row>
    <row r="11" spans="1:8" x14ac:dyDescent="0.2">
      <c r="A11" s="17" t="s">
        <v>32</v>
      </c>
      <c r="B11" s="23"/>
      <c r="C11" s="70"/>
      <c r="D11" s="71"/>
      <c r="E11" s="24"/>
      <c r="F11" s="23"/>
      <c r="G11" s="22"/>
      <c r="H11" s="21"/>
    </row>
    <row r="12" spans="1:8" x14ac:dyDescent="0.2">
      <c r="A12" s="25" t="s">
        <v>33</v>
      </c>
      <c r="B12" s="26">
        <v>14.117000000000001</v>
      </c>
      <c r="C12" s="50">
        <v>2.74</v>
      </c>
      <c r="D12" s="57">
        <v>0.28000000000000003</v>
      </c>
      <c r="E12" s="50">
        <v>2.75</v>
      </c>
      <c r="F12" s="51">
        <v>0.27</v>
      </c>
      <c r="G12" s="27">
        <f>C12/$E$12</f>
        <v>0.99636363636363645</v>
      </c>
      <c r="H12" s="28">
        <f>D12/$F$12</f>
        <v>1.037037037037037</v>
      </c>
    </row>
    <row r="13" spans="1:8" x14ac:dyDescent="0.2">
      <c r="A13" s="25" t="s">
        <v>33</v>
      </c>
      <c r="B13" s="29">
        <v>5.7110000000000003</v>
      </c>
      <c r="C13" s="58">
        <v>2.83</v>
      </c>
      <c r="D13" s="59">
        <v>0.3</v>
      </c>
      <c r="E13" s="30"/>
      <c r="F13" s="38"/>
      <c r="G13" s="31">
        <f t="shared" ref="G13:G16" si="0">C13/$E$12</f>
        <v>1.0290909090909091</v>
      </c>
      <c r="H13" s="32">
        <f t="shared" ref="H13:H16" si="1">D13/$F$12</f>
        <v>1.1111111111111109</v>
      </c>
    </row>
    <row r="14" spans="1:8" x14ac:dyDescent="0.2">
      <c r="A14" s="25" t="s">
        <v>33</v>
      </c>
      <c r="B14" s="29">
        <v>6.5149999999999997</v>
      </c>
      <c r="C14" s="58">
        <v>2.91</v>
      </c>
      <c r="D14" s="59">
        <v>0.33</v>
      </c>
      <c r="E14" s="30"/>
      <c r="F14" s="38"/>
      <c r="G14" s="31">
        <f t="shared" si="0"/>
        <v>1.0581818181818183</v>
      </c>
      <c r="H14" s="32">
        <f t="shared" si="1"/>
        <v>1.2222222222222221</v>
      </c>
    </row>
    <row r="15" spans="1:8" x14ac:dyDescent="0.2">
      <c r="A15" s="25" t="s">
        <v>33</v>
      </c>
      <c r="B15" s="29">
        <v>8.09</v>
      </c>
      <c r="C15" s="58">
        <v>2.88</v>
      </c>
      <c r="D15" s="59">
        <v>0.3</v>
      </c>
      <c r="E15" s="30"/>
      <c r="F15" s="38"/>
      <c r="G15" s="31">
        <f t="shared" si="0"/>
        <v>1.0472727272727271</v>
      </c>
      <c r="H15" s="32">
        <f t="shared" si="1"/>
        <v>1.1111111111111109</v>
      </c>
    </row>
    <row r="16" spans="1:8" x14ac:dyDescent="0.2">
      <c r="A16" s="25" t="s">
        <v>33</v>
      </c>
      <c r="B16" s="33"/>
      <c r="C16" s="60"/>
      <c r="D16" s="61"/>
      <c r="E16" s="34"/>
      <c r="F16" s="39"/>
      <c r="G16" s="35">
        <f t="shared" si="0"/>
        <v>0</v>
      </c>
      <c r="H16" s="36">
        <f t="shared" si="1"/>
        <v>0</v>
      </c>
    </row>
    <row r="19" spans="1:8" x14ac:dyDescent="0.2">
      <c r="A19" s="41" t="s">
        <v>34</v>
      </c>
      <c r="B19" s="42"/>
      <c r="C19" s="42"/>
      <c r="D19" s="42"/>
      <c r="E19" s="77" t="s">
        <v>26</v>
      </c>
      <c r="F19" s="77"/>
      <c r="G19" s="43" t="s">
        <v>27</v>
      </c>
      <c r="H19" s="37"/>
    </row>
    <row r="20" spans="1:8" x14ac:dyDescent="0.2">
      <c r="A20" s="44" t="s">
        <v>1</v>
      </c>
      <c r="B20" s="40" t="s">
        <v>0</v>
      </c>
      <c r="C20" s="40" t="s">
        <v>6</v>
      </c>
      <c r="D20" s="40" t="s">
        <v>5</v>
      </c>
      <c r="E20" s="40" t="s">
        <v>29</v>
      </c>
      <c r="F20" s="40" t="s">
        <v>30</v>
      </c>
      <c r="G20" s="40" t="s">
        <v>29</v>
      </c>
      <c r="H20" s="45" t="s">
        <v>30</v>
      </c>
    </row>
    <row r="21" spans="1:8" x14ac:dyDescent="0.2">
      <c r="A21" s="44"/>
      <c r="B21" s="40">
        <v>1.3109999999999999</v>
      </c>
      <c r="C21" s="62">
        <v>71.540000000000006</v>
      </c>
      <c r="D21" s="62">
        <v>10.33</v>
      </c>
      <c r="E21" s="40">
        <v>71.09</v>
      </c>
      <c r="F21" s="40">
        <v>10.36</v>
      </c>
      <c r="G21" s="52">
        <f>C21/$E$21</f>
        <v>1.006330004220003</v>
      </c>
      <c r="H21" s="53">
        <f>D21/$F$21</f>
        <v>0.99710424710424717</v>
      </c>
    </row>
    <row r="22" spans="1:8" x14ac:dyDescent="0.2">
      <c r="A22" s="44"/>
      <c r="B22" s="40">
        <v>2.7349999999999999</v>
      </c>
      <c r="C22" s="62">
        <v>71.790000000000006</v>
      </c>
      <c r="D22" s="62">
        <v>10.46</v>
      </c>
      <c r="E22" s="40"/>
      <c r="F22" s="40"/>
      <c r="G22" s="52">
        <f t="shared" ref="G22:G36" si="2">C22/$E$21</f>
        <v>1.0098466732311155</v>
      </c>
      <c r="H22" s="53">
        <f t="shared" ref="H22:H36" si="3">D22/$F$21</f>
        <v>1.0096525096525097</v>
      </c>
    </row>
    <row r="23" spans="1:8" x14ac:dyDescent="0.2">
      <c r="A23" s="44"/>
      <c r="B23" s="40"/>
      <c r="C23" s="62"/>
      <c r="D23" s="62"/>
      <c r="E23" s="40"/>
      <c r="F23" s="40"/>
      <c r="G23" s="52">
        <f t="shared" si="2"/>
        <v>0</v>
      </c>
      <c r="H23" s="53">
        <f t="shared" si="3"/>
        <v>0</v>
      </c>
    </row>
    <row r="24" spans="1:8" x14ac:dyDescent="0.2">
      <c r="A24" s="44"/>
      <c r="B24" s="40"/>
      <c r="C24" s="62"/>
      <c r="D24" s="62"/>
      <c r="E24" s="40"/>
      <c r="F24" s="40"/>
      <c r="G24" s="52">
        <f t="shared" si="2"/>
        <v>0</v>
      </c>
      <c r="H24" s="53">
        <f t="shared" si="3"/>
        <v>0</v>
      </c>
    </row>
    <row r="25" spans="1:8" x14ac:dyDescent="0.2">
      <c r="A25" s="44"/>
      <c r="B25" s="40"/>
      <c r="C25" s="62"/>
      <c r="D25" s="62"/>
      <c r="E25" s="40"/>
      <c r="F25" s="40"/>
      <c r="G25" s="52">
        <f t="shared" si="2"/>
        <v>0</v>
      </c>
      <c r="H25" s="53">
        <f t="shared" si="3"/>
        <v>0</v>
      </c>
    </row>
    <row r="26" spans="1:8" x14ac:dyDescent="0.2">
      <c r="A26" s="44"/>
      <c r="B26" s="40"/>
      <c r="C26" s="62"/>
      <c r="D26" s="62"/>
      <c r="E26" s="40"/>
      <c r="F26" s="40"/>
      <c r="G26" s="52">
        <f t="shared" si="2"/>
        <v>0</v>
      </c>
      <c r="H26" s="53">
        <f t="shared" si="3"/>
        <v>0</v>
      </c>
    </row>
    <row r="27" spans="1:8" x14ac:dyDescent="0.2">
      <c r="A27" s="44"/>
      <c r="B27" s="40"/>
      <c r="C27" s="62"/>
      <c r="D27" s="62"/>
      <c r="E27" s="40"/>
      <c r="F27" s="40"/>
      <c r="G27" s="52">
        <f t="shared" si="2"/>
        <v>0</v>
      </c>
      <c r="H27" s="53">
        <f t="shared" si="3"/>
        <v>0</v>
      </c>
    </row>
    <row r="28" spans="1:8" x14ac:dyDescent="0.2">
      <c r="A28" s="44"/>
      <c r="B28" s="40"/>
      <c r="C28" s="62"/>
      <c r="D28" s="62"/>
      <c r="E28" s="40"/>
      <c r="F28" s="40"/>
      <c r="G28" s="52">
        <f t="shared" si="2"/>
        <v>0</v>
      </c>
      <c r="H28" s="53">
        <f t="shared" si="3"/>
        <v>0</v>
      </c>
    </row>
    <row r="29" spans="1:8" x14ac:dyDescent="0.2">
      <c r="A29" s="44"/>
      <c r="B29" s="40"/>
      <c r="C29" s="62"/>
      <c r="D29" s="62"/>
      <c r="E29" s="40"/>
      <c r="F29" s="40"/>
      <c r="G29" s="52">
        <f t="shared" si="2"/>
        <v>0</v>
      </c>
      <c r="H29" s="53">
        <f t="shared" si="3"/>
        <v>0</v>
      </c>
    </row>
    <row r="30" spans="1:8" x14ac:dyDescent="0.2">
      <c r="A30" s="44"/>
      <c r="B30" s="40"/>
      <c r="C30" s="62"/>
      <c r="D30" s="62"/>
      <c r="E30" s="40"/>
      <c r="F30" s="40"/>
      <c r="G30" s="52">
        <f t="shared" si="2"/>
        <v>0</v>
      </c>
      <c r="H30" s="53">
        <f t="shared" si="3"/>
        <v>0</v>
      </c>
    </row>
    <row r="31" spans="1:8" x14ac:dyDescent="0.2">
      <c r="A31" s="44"/>
      <c r="B31" s="40"/>
      <c r="C31" s="62"/>
      <c r="D31" s="62"/>
      <c r="E31" s="40"/>
      <c r="F31" s="40"/>
      <c r="G31" s="52">
        <f t="shared" si="2"/>
        <v>0</v>
      </c>
      <c r="H31" s="53">
        <f t="shared" si="3"/>
        <v>0</v>
      </c>
    </row>
    <row r="32" spans="1:8" x14ac:dyDescent="0.2">
      <c r="A32" s="44"/>
      <c r="B32" s="40"/>
      <c r="C32" s="62"/>
      <c r="D32" s="62"/>
      <c r="E32" s="40"/>
      <c r="F32" s="40"/>
      <c r="G32" s="52">
        <f t="shared" si="2"/>
        <v>0</v>
      </c>
      <c r="H32" s="53">
        <f t="shared" si="3"/>
        <v>0</v>
      </c>
    </row>
    <row r="33" spans="1:8" x14ac:dyDescent="0.2">
      <c r="A33" s="44"/>
      <c r="B33" s="40"/>
      <c r="C33" s="62"/>
      <c r="D33" s="62"/>
      <c r="E33" s="40"/>
      <c r="F33" s="40"/>
      <c r="G33" s="52">
        <f t="shared" si="2"/>
        <v>0</v>
      </c>
      <c r="H33" s="53">
        <f t="shared" si="3"/>
        <v>0</v>
      </c>
    </row>
    <row r="34" spans="1:8" x14ac:dyDescent="0.2">
      <c r="A34" s="44"/>
      <c r="B34" s="40"/>
      <c r="C34" s="62"/>
      <c r="D34" s="62"/>
      <c r="E34" s="40"/>
      <c r="F34" s="40"/>
      <c r="G34" s="52">
        <f t="shared" si="2"/>
        <v>0</v>
      </c>
      <c r="H34" s="53">
        <f t="shared" si="3"/>
        <v>0</v>
      </c>
    </row>
    <row r="35" spans="1:8" x14ac:dyDescent="0.2">
      <c r="A35" s="44"/>
      <c r="B35" s="40"/>
      <c r="C35" s="62"/>
      <c r="D35" s="62"/>
      <c r="E35" s="40"/>
      <c r="F35" s="40"/>
      <c r="G35" s="52">
        <f t="shared" si="2"/>
        <v>0</v>
      </c>
      <c r="H35" s="53">
        <f t="shared" si="3"/>
        <v>0</v>
      </c>
    </row>
    <row r="36" spans="1:8" x14ac:dyDescent="0.2">
      <c r="A36" s="46"/>
      <c r="B36" s="47"/>
      <c r="C36" s="63"/>
      <c r="D36" s="63"/>
      <c r="E36" s="47"/>
      <c r="F36" s="47"/>
      <c r="G36" s="54">
        <f t="shared" si="2"/>
        <v>0</v>
      </c>
      <c r="H36" s="55">
        <f t="shared" si="3"/>
        <v>0</v>
      </c>
    </row>
  </sheetData>
  <mergeCells count="2">
    <mergeCell ref="E1:F1"/>
    <mergeCell ref="E19:F19"/>
  </mergeCell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CD5B5B-8FCA-48BC-AD11-BDE35314B5E7}">
  <dimension ref="A1:F63"/>
  <sheetViews>
    <sheetView zoomScale="167" workbookViewId="0">
      <selection activeCell="B1" sqref="B1:C1048576"/>
    </sheetView>
  </sheetViews>
  <sheetFormatPr baseColWidth="10" defaultColWidth="8.83203125" defaultRowHeight="15" x14ac:dyDescent="0.2"/>
  <cols>
    <col min="1" max="1" width="9.83203125" bestFit="1" customWidth="1"/>
    <col min="4" max="4" width="11.33203125" customWidth="1"/>
    <col min="5" max="5" width="10.83203125" customWidth="1"/>
  </cols>
  <sheetData>
    <row r="1" spans="1:6" x14ac:dyDescent="0.2">
      <c r="D1" s="78"/>
      <c r="E1" s="78"/>
    </row>
    <row r="2" spans="1:6" s="48" customFormat="1" x14ac:dyDescent="0.2">
      <c r="A2" s="48" t="s">
        <v>28</v>
      </c>
      <c r="B2" t="s">
        <v>6</v>
      </c>
      <c r="C2" t="s">
        <v>5</v>
      </c>
      <c r="D2" t="s">
        <v>17</v>
      </c>
      <c r="E2" t="s">
        <v>18</v>
      </c>
      <c r="F2" s="48" t="s">
        <v>147</v>
      </c>
    </row>
    <row r="3" spans="1:6" x14ac:dyDescent="0.2">
      <c r="A3" t="s">
        <v>119</v>
      </c>
      <c r="B3">
        <v>43.83</v>
      </c>
      <c r="C3">
        <v>4.3099999999999996</v>
      </c>
      <c r="D3" s="56">
        <v>1989.4436999999998</v>
      </c>
      <c r="E3" s="56">
        <v>195.6309</v>
      </c>
      <c r="F3">
        <f>B3/C3</f>
        <v>10.169373549883991</v>
      </c>
    </row>
    <row r="4" spans="1:6" x14ac:dyDescent="0.2">
      <c r="A4" t="s">
        <v>145</v>
      </c>
      <c r="B4">
        <v>41.3</v>
      </c>
      <c r="C4">
        <v>3.74</v>
      </c>
      <c r="D4" s="56">
        <v>2056.7400000000002</v>
      </c>
      <c r="E4" s="56">
        <v>186.25200000000004</v>
      </c>
      <c r="F4">
        <f t="shared" ref="F4:F32" si="0">B4/C4</f>
        <v>11.0427807486631</v>
      </c>
    </row>
    <row r="5" spans="1:6" x14ac:dyDescent="0.2">
      <c r="A5" t="s">
        <v>146</v>
      </c>
      <c r="B5">
        <v>43.48</v>
      </c>
      <c r="C5">
        <v>4.6100000000000003</v>
      </c>
      <c r="D5" s="56">
        <v>1141.7847999999999</v>
      </c>
      <c r="E5" s="56">
        <v>121.0586</v>
      </c>
      <c r="F5">
        <f t="shared" si="0"/>
        <v>9.431670281995661</v>
      </c>
    </row>
    <row r="6" spans="1:6" x14ac:dyDescent="0.2">
      <c r="A6" t="s">
        <v>120</v>
      </c>
      <c r="B6">
        <v>42.88</v>
      </c>
      <c r="C6">
        <v>3.59</v>
      </c>
      <c r="D6" s="56">
        <v>1971.6224</v>
      </c>
      <c r="E6" s="56">
        <v>165.06819999999999</v>
      </c>
      <c r="F6">
        <f t="shared" si="0"/>
        <v>11.944289693593316</v>
      </c>
    </row>
    <row r="7" spans="1:6" x14ac:dyDescent="0.2">
      <c r="A7" t="s">
        <v>121</v>
      </c>
      <c r="B7">
        <v>43.51</v>
      </c>
      <c r="C7">
        <v>3.5</v>
      </c>
      <c r="D7" s="56">
        <v>2008.4215999999997</v>
      </c>
      <c r="E7" s="56">
        <v>161.56</v>
      </c>
      <c r="F7">
        <f t="shared" si="0"/>
        <v>12.431428571428571</v>
      </c>
    </row>
    <row r="8" spans="1:6" x14ac:dyDescent="0.2">
      <c r="A8" t="s">
        <v>123</v>
      </c>
      <c r="B8">
        <v>44.51</v>
      </c>
      <c r="C8">
        <v>3.27</v>
      </c>
      <c r="D8" s="56">
        <v>1670.9054000000001</v>
      </c>
      <c r="E8" s="56">
        <v>122.75579999999999</v>
      </c>
      <c r="F8">
        <f t="shared" si="0"/>
        <v>13.611620795107033</v>
      </c>
    </row>
    <row r="9" spans="1:6" x14ac:dyDescent="0.2">
      <c r="A9" t="s">
        <v>117</v>
      </c>
      <c r="B9">
        <v>44.12</v>
      </c>
      <c r="C9">
        <v>3.61</v>
      </c>
      <c r="D9" s="56">
        <v>1934.2208000000001</v>
      </c>
      <c r="E9" s="56">
        <v>158.26240000000001</v>
      </c>
      <c r="F9">
        <f t="shared" si="0"/>
        <v>12.221606648199446</v>
      </c>
    </row>
    <row r="10" spans="1:6" x14ac:dyDescent="0.2">
      <c r="A10" t="s">
        <v>124</v>
      </c>
      <c r="B10">
        <v>45.08</v>
      </c>
      <c r="C10">
        <v>3.87</v>
      </c>
      <c r="D10" s="56">
        <v>989.95680000000004</v>
      </c>
      <c r="E10" s="56">
        <v>84.985199999999992</v>
      </c>
      <c r="F10">
        <f t="shared" si="0"/>
        <v>11.648578811369509</v>
      </c>
    </row>
    <row r="11" spans="1:6" x14ac:dyDescent="0.2">
      <c r="A11" t="s">
        <v>125</v>
      </c>
      <c r="B11">
        <v>43.26</v>
      </c>
      <c r="C11">
        <v>3.43</v>
      </c>
      <c r="D11" s="56">
        <v>1422.3887999999997</v>
      </c>
      <c r="E11" s="56">
        <v>112.7784</v>
      </c>
      <c r="F11">
        <f t="shared" si="0"/>
        <v>12.612244897959183</v>
      </c>
    </row>
    <row r="12" spans="1:6" x14ac:dyDescent="0.2">
      <c r="A12" t="s">
        <v>126</v>
      </c>
      <c r="B12">
        <v>44.12</v>
      </c>
      <c r="C12">
        <v>3.01</v>
      </c>
      <c r="D12" s="56">
        <v>2101.4355999999998</v>
      </c>
      <c r="E12" s="56">
        <v>143.3663</v>
      </c>
      <c r="F12">
        <f t="shared" si="0"/>
        <v>14.657807308970099</v>
      </c>
    </row>
    <row r="13" spans="1:6" x14ac:dyDescent="0.2">
      <c r="A13" t="s">
        <v>127</v>
      </c>
      <c r="B13">
        <v>43.71</v>
      </c>
      <c r="C13">
        <v>3.94</v>
      </c>
      <c r="D13" s="56">
        <v>1720.8626999999999</v>
      </c>
      <c r="E13" s="56">
        <v>155.11779999999996</v>
      </c>
      <c r="F13">
        <f t="shared" si="0"/>
        <v>11.093908629441625</v>
      </c>
    </row>
    <row r="14" spans="1:6" x14ac:dyDescent="0.2">
      <c r="A14" t="s">
        <v>128</v>
      </c>
      <c r="B14">
        <v>44.27</v>
      </c>
      <c r="C14">
        <v>3.58</v>
      </c>
      <c r="D14" s="56">
        <v>887.17079999999999</v>
      </c>
      <c r="E14" s="56">
        <v>71.743199999999987</v>
      </c>
      <c r="F14">
        <f t="shared" si="0"/>
        <v>12.365921787709498</v>
      </c>
    </row>
    <row r="15" spans="1:6" x14ac:dyDescent="0.2">
      <c r="A15" t="s">
        <v>129</v>
      </c>
      <c r="B15">
        <v>43.75</v>
      </c>
      <c r="C15">
        <v>3.54</v>
      </c>
      <c r="D15" s="56">
        <v>879.37499999999989</v>
      </c>
      <c r="E15" s="56">
        <v>71.153999999999996</v>
      </c>
      <c r="F15">
        <f t="shared" si="0"/>
        <v>12.358757062146893</v>
      </c>
    </row>
    <row r="16" spans="1:6" x14ac:dyDescent="0.2">
      <c r="A16" t="s">
        <v>118</v>
      </c>
      <c r="B16">
        <v>45.49</v>
      </c>
      <c r="C16">
        <v>4.43</v>
      </c>
      <c r="D16" s="56">
        <v>1151.3519000000001</v>
      </c>
      <c r="E16" s="56">
        <v>112.12330000000001</v>
      </c>
      <c r="F16">
        <f t="shared" si="0"/>
        <v>10.268623024830701</v>
      </c>
    </row>
    <row r="17" spans="1:6" x14ac:dyDescent="0.2">
      <c r="A17" t="s">
        <v>130</v>
      </c>
      <c r="B17">
        <v>43.17</v>
      </c>
      <c r="C17">
        <v>3.38</v>
      </c>
      <c r="D17" s="56">
        <v>865.99019999999996</v>
      </c>
      <c r="E17" s="56">
        <v>67.802799999999976</v>
      </c>
      <c r="F17">
        <f t="shared" si="0"/>
        <v>12.772189349112427</v>
      </c>
    </row>
    <row r="18" spans="1:6" x14ac:dyDescent="0.2">
      <c r="A18" t="s">
        <v>135</v>
      </c>
      <c r="B18">
        <v>43.8</v>
      </c>
      <c r="C18">
        <v>2.87</v>
      </c>
      <c r="D18" s="56">
        <v>2393.232</v>
      </c>
      <c r="E18" s="56">
        <v>156.8168</v>
      </c>
      <c r="F18">
        <f t="shared" si="0"/>
        <v>15.261324041811845</v>
      </c>
    </row>
    <row r="19" spans="1:6" x14ac:dyDescent="0.2">
      <c r="A19" t="s">
        <v>136</v>
      </c>
      <c r="B19">
        <v>42.88</v>
      </c>
      <c r="C19">
        <v>2.61</v>
      </c>
      <c r="D19" s="56">
        <v>1736.6399999999999</v>
      </c>
      <c r="E19" s="56">
        <v>105.705</v>
      </c>
      <c r="F19">
        <f t="shared" si="0"/>
        <v>16.42911877394636</v>
      </c>
    </row>
    <row r="20" spans="1:6" x14ac:dyDescent="0.2">
      <c r="A20" t="s">
        <v>137</v>
      </c>
      <c r="B20">
        <v>43.46</v>
      </c>
      <c r="C20">
        <v>2.76</v>
      </c>
      <c r="D20" s="56">
        <v>1372.9014</v>
      </c>
      <c r="E20" s="56">
        <v>87.188400000000001</v>
      </c>
      <c r="F20">
        <f t="shared" si="0"/>
        <v>15.746376811594205</v>
      </c>
    </row>
    <row r="21" spans="1:6" x14ac:dyDescent="0.2">
      <c r="A21" t="s">
        <v>138</v>
      </c>
      <c r="B21">
        <v>43.33</v>
      </c>
      <c r="C21">
        <v>3.24</v>
      </c>
      <c r="D21" s="56">
        <v>2452.4779999999996</v>
      </c>
      <c r="E21" s="56">
        <v>183.38400000000004</v>
      </c>
      <c r="F21">
        <f t="shared" si="0"/>
        <v>13.373456790123456</v>
      </c>
    </row>
    <row r="22" spans="1:6" x14ac:dyDescent="0.2">
      <c r="A22" t="s">
        <v>139</v>
      </c>
      <c r="B22">
        <v>35.11</v>
      </c>
      <c r="C22">
        <v>2.44</v>
      </c>
      <c r="D22" s="56">
        <v>1980.5550999999998</v>
      </c>
      <c r="E22" s="56">
        <v>137.6404</v>
      </c>
      <c r="F22">
        <f t="shared" si="0"/>
        <v>14.389344262295083</v>
      </c>
    </row>
    <row r="23" spans="1:6" x14ac:dyDescent="0.2">
      <c r="A23" t="s">
        <v>131</v>
      </c>
      <c r="B23">
        <v>40.35</v>
      </c>
      <c r="C23">
        <v>3.87</v>
      </c>
      <c r="D23" s="56">
        <v>1319.0415000000003</v>
      </c>
      <c r="E23" s="56">
        <v>126.51029999999999</v>
      </c>
      <c r="F23">
        <f t="shared" si="0"/>
        <v>10.426356589147288</v>
      </c>
    </row>
    <row r="24" spans="1:6" x14ac:dyDescent="0.2">
      <c r="A24" t="s">
        <v>132</v>
      </c>
      <c r="B24">
        <v>37.17</v>
      </c>
      <c r="C24">
        <v>2.12</v>
      </c>
      <c r="D24" s="56">
        <v>1710.5634000000002</v>
      </c>
      <c r="E24" s="56">
        <v>97.562400000000011</v>
      </c>
      <c r="F24">
        <f t="shared" si="0"/>
        <v>17.533018867924529</v>
      </c>
    </row>
    <row r="25" spans="1:6" x14ac:dyDescent="0.2">
      <c r="A25" t="s">
        <v>116</v>
      </c>
      <c r="B25">
        <v>39.47</v>
      </c>
      <c r="C25">
        <v>4.18</v>
      </c>
      <c r="D25" s="56">
        <v>669.41120000000001</v>
      </c>
      <c r="E25" s="56">
        <v>70.892799999999994</v>
      </c>
      <c r="F25">
        <f t="shared" si="0"/>
        <v>9.4425837320574164</v>
      </c>
    </row>
    <row r="26" spans="1:6" x14ac:dyDescent="0.2">
      <c r="A26" t="s">
        <v>133</v>
      </c>
      <c r="B26">
        <v>35.78</v>
      </c>
      <c r="C26">
        <v>3.62</v>
      </c>
      <c r="D26" s="56">
        <v>1044.0604000000001</v>
      </c>
      <c r="E26" s="56">
        <v>105.63160000000002</v>
      </c>
      <c r="F26">
        <f t="shared" si="0"/>
        <v>9.8839779005524857</v>
      </c>
    </row>
    <row r="27" spans="1:6" x14ac:dyDescent="0.2">
      <c r="A27" t="s">
        <v>134</v>
      </c>
      <c r="B27">
        <v>40.72</v>
      </c>
      <c r="C27">
        <v>2.99</v>
      </c>
      <c r="D27" s="56">
        <v>1123.4648</v>
      </c>
      <c r="E27" s="56">
        <v>82.494100000000003</v>
      </c>
      <c r="F27">
        <f t="shared" si="0"/>
        <v>13.618729096989965</v>
      </c>
    </row>
    <row r="28" spans="1:6" x14ac:dyDescent="0.2">
      <c r="A28" t="s">
        <v>140</v>
      </c>
      <c r="B28">
        <v>42.73</v>
      </c>
      <c r="C28">
        <v>2.4700000000000002</v>
      </c>
      <c r="D28" s="56">
        <v>1365.6507999999999</v>
      </c>
      <c r="E28" s="56">
        <v>78.941200000000023</v>
      </c>
      <c r="F28">
        <f t="shared" si="0"/>
        <v>17.299595141700401</v>
      </c>
    </row>
    <row r="29" spans="1:6" x14ac:dyDescent="0.2">
      <c r="A29" t="s">
        <v>141</v>
      </c>
      <c r="B29">
        <v>43.82</v>
      </c>
      <c r="C29">
        <v>2.95</v>
      </c>
      <c r="D29" s="56">
        <v>916.71440000000007</v>
      </c>
      <c r="E29" s="56">
        <v>61.714000000000006</v>
      </c>
      <c r="F29">
        <f t="shared" si="0"/>
        <v>14.854237288135593</v>
      </c>
    </row>
    <row r="30" spans="1:6" x14ac:dyDescent="0.2">
      <c r="A30" t="s">
        <v>142</v>
      </c>
      <c r="B30">
        <v>43.51</v>
      </c>
      <c r="C30">
        <v>2.78</v>
      </c>
      <c r="D30" s="56">
        <v>1016.3936</v>
      </c>
      <c r="E30" s="56">
        <v>64.940799999999996</v>
      </c>
      <c r="F30">
        <f t="shared" si="0"/>
        <v>15.651079136690647</v>
      </c>
    </row>
    <row r="31" spans="1:6" x14ac:dyDescent="0.2">
      <c r="A31" t="s">
        <v>143</v>
      </c>
      <c r="B31">
        <v>44.18</v>
      </c>
      <c r="C31">
        <v>2.96</v>
      </c>
      <c r="D31" s="56">
        <v>1167.2356</v>
      </c>
      <c r="E31" s="56">
        <v>78.203199999999995</v>
      </c>
      <c r="F31">
        <f t="shared" si="0"/>
        <v>14.925675675675675</v>
      </c>
    </row>
    <row r="32" spans="1:6" x14ac:dyDescent="0.2">
      <c r="A32" t="s">
        <v>144</v>
      </c>
      <c r="B32">
        <v>44.61</v>
      </c>
      <c r="C32">
        <v>3.23</v>
      </c>
      <c r="D32" s="56">
        <v>1121.0492999999999</v>
      </c>
      <c r="E32" s="56">
        <v>81.169899999999998</v>
      </c>
      <c r="F32">
        <f t="shared" si="0"/>
        <v>13.811145510835914</v>
      </c>
    </row>
    <row r="33" spans="4:5" x14ac:dyDescent="0.2">
      <c r="D33" s="49"/>
      <c r="E33" s="49"/>
    </row>
    <row r="34" spans="4:5" x14ac:dyDescent="0.2">
      <c r="D34" s="49"/>
      <c r="E34" s="49"/>
    </row>
    <row r="35" spans="4:5" x14ac:dyDescent="0.2">
      <c r="D35" s="49"/>
      <c r="E35" s="49"/>
    </row>
    <row r="36" spans="4:5" x14ac:dyDescent="0.2">
      <c r="D36" s="49"/>
      <c r="E36" s="49"/>
    </row>
    <row r="37" spans="4:5" x14ac:dyDescent="0.2">
      <c r="D37" s="49"/>
      <c r="E37" s="49"/>
    </row>
    <row r="38" spans="4:5" x14ac:dyDescent="0.2">
      <c r="D38" s="49"/>
      <c r="E38" s="49"/>
    </row>
    <row r="39" spans="4:5" x14ac:dyDescent="0.2">
      <c r="D39" s="49"/>
      <c r="E39" s="49"/>
    </row>
    <row r="40" spans="4:5" x14ac:dyDescent="0.2">
      <c r="D40" s="49"/>
      <c r="E40" s="49"/>
    </row>
    <row r="41" spans="4:5" x14ac:dyDescent="0.2">
      <c r="D41" s="49"/>
      <c r="E41" s="49"/>
    </row>
    <row r="42" spans="4:5" x14ac:dyDescent="0.2">
      <c r="D42" s="49"/>
      <c r="E42" s="49"/>
    </row>
    <row r="43" spans="4:5" x14ac:dyDescent="0.2">
      <c r="D43" s="49"/>
      <c r="E43" s="49"/>
    </row>
    <row r="44" spans="4:5" x14ac:dyDescent="0.2">
      <c r="D44" s="49"/>
      <c r="E44" s="49"/>
    </row>
    <row r="45" spans="4:5" x14ac:dyDescent="0.2">
      <c r="D45" s="49"/>
      <c r="E45" s="49"/>
    </row>
    <row r="46" spans="4:5" x14ac:dyDescent="0.2">
      <c r="D46" s="49"/>
      <c r="E46" s="49"/>
    </row>
    <row r="47" spans="4:5" x14ac:dyDescent="0.2">
      <c r="D47" s="49"/>
      <c r="E47" s="49"/>
    </row>
    <row r="48" spans="4:5" x14ac:dyDescent="0.2">
      <c r="D48" s="49"/>
      <c r="E48" s="49"/>
    </row>
    <row r="49" spans="4:6" x14ac:dyDescent="0.2">
      <c r="D49" s="49"/>
      <c r="E49" s="49"/>
    </row>
    <row r="50" spans="4:6" x14ac:dyDescent="0.2">
      <c r="D50" s="49"/>
      <c r="E50" s="49"/>
    </row>
    <row r="51" spans="4:6" x14ac:dyDescent="0.2">
      <c r="D51" s="49"/>
      <c r="E51" s="49"/>
    </row>
    <row r="52" spans="4:6" x14ac:dyDescent="0.2">
      <c r="D52" s="49"/>
      <c r="E52" s="49"/>
    </row>
    <row r="53" spans="4:6" x14ac:dyDescent="0.2">
      <c r="D53" s="49"/>
      <c r="E53" s="49"/>
    </row>
    <row r="54" spans="4:6" x14ac:dyDescent="0.2">
      <c r="D54" s="49"/>
      <c r="E54" s="49"/>
    </row>
    <row r="55" spans="4:6" x14ac:dyDescent="0.2">
      <c r="D55" s="49"/>
      <c r="E55" s="49"/>
    </row>
    <row r="56" spans="4:6" x14ac:dyDescent="0.2">
      <c r="D56" s="49"/>
      <c r="E56" s="49"/>
      <c r="F56" t="s">
        <v>35</v>
      </c>
    </row>
    <row r="57" spans="4:6" x14ac:dyDescent="0.2">
      <c r="D57" s="49"/>
      <c r="E57" s="49"/>
    </row>
    <row r="58" spans="4:6" x14ac:dyDescent="0.2">
      <c r="D58" s="49"/>
      <c r="E58" s="49"/>
    </row>
    <row r="59" spans="4:6" x14ac:dyDescent="0.2">
      <c r="D59" s="49"/>
      <c r="E59" s="49"/>
    </row>
    <row r="60" spans="4:6" x14ac:dyDescent="0.2">
      <c r="D60" s="49"/>
      <c r="E60" s="49"/>
    </row>
    <row r="61" spans="4:6" x14ac:dyDescent="0.2">
      <c r="D61" s="49"/>
      <c r="E61" s="49"/>
    </row>
    <row r="62" spans="4:6" x14ac:dyDescent="0.2">
      <c r="D62" s="49"/>
      <c r="E62" s="49"/>
    </row>
    <row r="63" spans="4:6" x14ac:dyDescent="0.2">
      <c r="D63" s="49"/>
      <c r="E63" s="49"/>
    </row>
  </sheetData>
  <sortState xmlns:xlrd2="http://schemas.microsoft.com/office/spreadsheetml/2017/richdata2" ref="A3:E32">
    <sortCondition ref="A3:A32"/>
  </sortState>
  <mergeCells count="1">
    <mergeCell ref="D1:E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F28C07-3C15-F945-B43F-D63EC971F4EC}">
  <dimension ref="A1:K34"/>
  <sheetViews>
    <sheetView tabSelected="1" workbookViewId="0">
      <selection activeCell="L9" sqref="L9"/>
    </sheetView>
  </sheetViews>
  <sheetFormatPr baseColWidth="10" defaultRowHeight="15" x14ac:dyDescent="0.2"/>
  <cols>
    <col min="1" max="1" width="8.33203125" bestFit="1" customWidth="1"/>
    <col min="2" max="2" width="16.83203125" bestFit="1" customWidth="1"/>
    <col min="3" max="3" width="16.6640625" bestFit="1" customWidth="1"/>
    <col min="4" max="4" width="13.6640625" bestFit="1" customWidth="1"/>
    <col min="5" max="6" width="8.83203125"/>
  </cols>
  <sheetData>
    <row r="1" spans="1:9" ht="16" x14ac:dyDescent="0.2">
      <c r="A1" s="73" t="s">
        <v>148</v>
      </c>
      <c r="B1" s="73" t="s">
        <v>149</v>
      </c>
      <c r="C1" s="74" t="s">
        <v>150</v>
      </c>
      <c r="D1" s="74" t="s">
        <v>151</v>
      </c>
      <c r="E1" s="74" t="s">
        <v>6</v>
      </c>
      <c r="F1" s="74" t="s">
        <v>5</v>
      </c>
      <c r="G1" s="74" t="s">
        <v>152</v>
      </c>
      <c r="H1" s="74" t="s">
        <v>153</v>
      </c>
      <c r="I1" s="74" t="s">
        <v>154</v>
      </c>
    </row>
    <row r="2" spans="1:9" x14ac:dyDescent="0.2">
      <c r="A2" t="s">
        <v>119</v>
      </c>
      <c r="B2">
        <v>30.79</v>
      </c>
      <c r="C2">
        <v>4.712918210369927E-2</v>
      </c>
      <c r="D2">
        <f>B2*C2</f>
        <v>1.4511075169729004</v>
      </c>
      <c r="E2">
        <v>43.83</v>
      </c>
      <c r="F2">
        <v>4.3099999999999996</v>
      </c>
      <c r="G2">
        <f>D2*(E2/100)</f>
        <v>0.63602042468922215</v>
      </c>
      <c r="H2">
        <f>D2*(F2/100)</f>
        <v>6.2542733981532012E-2</v>
      </c>
      <c r="I2">
        <f>G2/H2</f>
        <v>10.169373549883989</v>
      </c>
    </row>
    <row r="3" spans="1:9" x14ac:dyDescent="0.2">
      <c r="A3" t="s">
        <v>145</v>
      </c>
      <c r="B3">
        <v>30.01</v>
      </c>
      <c r="C3">
        <v>6.0659300013870258E-2</v>
      </c>
      <c r="D3">
        <f t="shared" ref="D3:D31" si="0">B3*C3</f>
        <v>1.8203855934162465</v>
      </c>
      <c r="E3">
        <v>41.3</v>
      </c>
      <c r="F3">
        <v>3.74</v>
      </c>
      <c r="G3">
        <f t="shared" ref="G3:G31" si="1">D3*(E3/100)</f>
        <v>0.75181925008090977</v>
      </c>
      <c r="H3">
        <f t="shared" ref="H3:H31" si="2">D3*(F3/100)</f>
        <v>6.8082421193767631E-2</v>
      </c>
      <c r="I3">
        <f>G3/H3</f>
        <v>11.0427807486631</v>
      </c>
    </row>
    <row r="4" spans="1:9" x14ac:dyDescent="0.2">
      <c r="A4" t="s">
        <v>146</v>
      </c>
      <c r="B4">
        <v>30.24</v>
      </c>
      <c r="C4">
        <v>5.2858374030451058E-2</v>
      </c>
      <c r="D4">
        <f t="shared" si="0"/>
        <v>1.5984372306808399</v>
      </c>
      <c r="E4">
        <v>43.48</v>
      </c>
      <c r="F4">
        <v>4.6100000000000003</v>
      </c>
      <c r="G4">
        <f t="shared" si="1"/>
        <v>0.6950005079000291</v>
      </c>
      <c r="H4">
        <f t="shared" si="2"/>
        <v>7.3687956334386726E-2</v>
      </c>
      <c r="I4">
        <f t="shared" ref="I4:I31" si="3">G4/H4</f>
        <v>9.4316702819956593</v>
      </c>
    </row>
    <row r="5" spans="1:9" x14ac:dyDescent="0.2">
      <c r="A5" t="s">
        <v>120</v>
      </c>
      <c r="B5">
        <v>30.1</v>
      </c>
      <c r="C5">
        <v>4.7732404712027637E-2</v>
      </c>
      <c r="D5">
        <f t="shared" si="0"/>
        <v>1.4367453818320319</v>
      </c>
      <c r="E5">
        <v>42.88</v>
      </c>
      <c r="F5">
        <v>3.59</v>
      </c>
      <c r="G5">
        <f t="shared" si="1"/>
        <v>0.61607641972957528</v>
      </c>
      <c r="H5">
        <f t="shared" si="2"/>
        <v>5.1579159207769947E-2</v>
      </c>
      <c r="I5">
        <f t="shared" si="3"/>
        <v>11.944289693593314</v>
      </c>
    </row>
    <row r="6" spans="1:9" x14ac:dyDescent="0.2">
      <c r="A6" t="s">
        <v>121</v>
      </c>
      <c r="B6">
        <v>30.43</v>
      </c>
      <c r="C6">
        <v>6.374837124148508E-2</v>
      </c>
      <c r="D6">
        <f t="shared" si="0"/>
        <v>1.9398629368783911</v>
      </c>
      <c r="E6">
        <v>43.51</v>
      </c>
      <c r="F6">
        <v>3.5</v>
      </c>
      <c r="G6">
        <f t="shared" si="1"/>
        <v>0.84403436383578789</v>
      </c>
      <c r="H6">
        <f t="shared" si="2"/>
        <v>6.7895202790743694E-2</v>
      </c>
      <c r="I6">
        <f t="shared" si="3"/>
        <v>12.431428571428569</v>
      </c>
    </row>
    <row r="7" spans="1:9" x14ac:dyDescent="0.2">
      <c r="A7" t="s">
        <v>123</v>
      </c>
      <c r="B7">
        <v>30.29</v>
      </c>
      <c r="C7">
        <v>4.6899869133095191E-2</v>
      </c>
      <c r="D7">
        <f t="shared" si="0"/>
        <v>1.4205970360414533</v>
      </c>
      <c r="E7">
        <v>44.51</v>
      </c>
      <c r="F7">
        <v>3.27</v>
      </c>
      <c r="G7">
        <f t="shared" si="1"/>
        <v>0.63230774074205087</v>
      </c>
      <c r="H7">
        <f t="shared" si="2"/>
        <v>4.645352307855552E-2</v>
      </c>
      <c r="I7">
        <f t="shared" si="3"/>
        <v>13.611620795107035</v>
      </c>
    </row>
    <row r="8" spans="1:9" x14ac:dyDescent="0.2">
      <c r="A8" t="s">
        <v>117</v>
      </c>
      <c r="B8">
        <v>30.19</v>
      </c>
      <c r="C8">
        <v>8.4040869189811407E-2</v>
      </c>
      <c r="D8">
        <f t="shared" si="0"/>
        <v>2.5371938408404064</v>
      </c>
      <c r="E8">
        <v>44.12</v>
      </c>
      <c r="F8">
        <v>3.61</v>
      </c>
      <c r="G8">
        <f t="shared" si="1"/>
        <v>1.1194099225787872</v>
      </c>
      <c r="H8">
        <f t="shared" si="2"/>
        <v>9.1592697654338667E-2</v>
      </c>
      <c r="I8">
        <f t="shared" si="3"/>
        <v>12.221606648199446</v>
      </c>
    </row>
    <row r="9" spans="1:9" x14ac:dyDescent="0.2">
      <c r="A9" t="s">
        <v>124</v>
      </c>
      <c r="B9">
        <v>30.12</v>
      </c>
      <c r="C9">
        <v>4.0469922596361625E-2</v>
      </c>
      <c r="D9">
        <f t="shared" si="0"/>
        <v>1.2189540686024123</v>
      </c>
      <c r="E9">
        <v>45.08</v>
      </c>
      <c r="F9">
        <v>3.87</v>
      </c>
      <c r="G9">
        <f t="shared" si="1"/>
        <v>0.54950449412596747</v>
      </c>
      <c r="H9">
        <f t="shared" si="2"/>
        <v>4.7173522454913352E-2</v>
      </c>
      <c r="I9">
        <f t="shared" si="3"/>
        <v>11.648578811369511</v>
      </c>
    </row>
    <row r="10" spans="1:9" x14ac:dyDescent="0.2">
      <c r="A10" t="s">
        <v>125</v>
      </c>
      <c r="B10">
        <v>30.32</v>
      </c>
      <c r="C10">
        <v>5.1185875037437392E-2</v>
      </c>
      <c r="D10">
        <f t="shared" si="0"/>
        <v>1.5519557311351018</v>
      </c>
      <c r="E10">
        <v>43.26</v>
      </c>
      <c r="F10">
        <v>3.43</v>
      </c>
      <c r="G10">
        <f t="shared" si="1"/>
        <v>0.67137604928904504</v>
      </c>
      <c r="H10">
        <f t="shared" si="2"/>
        <v>5.3232081577934E-2</v>
      </c>
      <c r="I10">
        <f t="shared" si="3"/>
        <v>12.612244897959181</v>
      </c>
    </row>
    <row r="11" spans="1:9" x14ac:dyDescent="0.2">
      <c r="A11" t="s">
        <v>126</v>
      </c>
      <c r="B11">
        <v>30.4</v>
      </c>
      <c r="C11">
        <v>2.2340297065571783E-2</v>
      </c>
      <c r="D11">
        <f t="shared" si="0"/>
        <v>0.67914503079338218</v>
      </c>
      <c r="E11">
        <v>44.12</v>
      </c>
      <c r="F11">
        <v>3.01</v>
      </c>
      <c r="G11">
        <f t="shared" si="1"/>
        <v>0.29963878758604018</v>
      </c>
      <c r="H11">
        <f t="shared" si="2"/>
        <v>2.0442265426880803E-2</v>
      </c>
      <c r="I11">
        <f t="shared" si="3"/>
        <v>14.657807308970098</v>
      </c>
    </row>
    <row r="12" spans="1:9" x14ac:dyDescent="0.2">
      <c r="A12" t="s">
        <v>127</v>
      </c>
      <c r="B12">
        <v>30.2</v>
      </c>
      <c r="C12">
        <v>3.3235555316343264E-2</v>
      </c>
      <c r="D12">
        <f t="shared" si="0"/>
        <v>1.0037137705535666</v>
      </c>
      <c r="E12">
        <v>43.71</v>
      </c>
      <c r="F12">
        <v>3.94</v>
      </c>
      <c r="G12">
        <f t="shared" si="1"/>
        <v>0.43872328910896397</v>
      </c>
      <c r="H12">
        <f t="shared" si="2"/>
        <v>3.9546322559810519E-2</v>
      </c>
      <c r="I12">
        <f t="shared" si="3"/>
        <v>11.093908629441627</v>
      </c>
    </row>
    <row r="13" spans="1:9" x14ac:dyDescent="0.2">
      <c r="A13" t="s">
        <v>128</v>
      </c>
      <c r="B13">
        <v>30.24</v>
      </c>
      <c r="C13">
        <v>3.0232558139534908E-2</v>
      </c>
      <c r="D13">
        <f t="shared" si="0"/>
        <v>0.91423255813953552</v>
      </c>
      <c r="E13">
        <v>44.27</v>
      </c>
      <c r="F13">
        <v>3.58</v>
      </c>
      <c r="G13">
        <f t="shared" si="1"/>
        <v>0.4047307534883724</v>
      </c>
      <c r="H13">
        <f t="shared" si="2"/>
        <v>3.2729525581395372E-2</v>
      </c>
      <c r="I13">
        <f t="shared" si="3"/>
        <v>12.365921787709498</v>
      </c>
    </row>
    <row r="14" spans="1:9" x14ac:dyDescent="0.2">
      <c r="A14" t="s">
        <v>129</v>
      </c>
      <c r="B14">
        <v>30.45</v>
      </c>
      <c r="C14">
        <v>3.329527170810196E-2</v>
      </c>
      <c r="D14">
        <f t="shared" si="0"/>
        <v>1.0138410235117046</v>
      </c>
      <c r="E14">
        <v>43.75</v>
      </c>
      <c r="F14">
        <v>3.54</v>
      </c>
      <c r="G14">
        <f t="shared" si="1"/>
        <v>0.44355544778637074</v>
      </c>
      <c r="H14">
        <f t="shared" si="2"/>
        <v>3.5889972232314341E-2</v>
      </c>
      <c r="I14">
        <f t="shared" si="3"/>
        <v>12.358757062146893</v>
      </c>
    </row>
    <row r="15" spans="1:9" x14ac:dyDescent="0.2">
      <c r="A15" t="s">
        <v>118</v>
      </c>
      <c r="B15">
        <v>30.58</v>
      </c>
      <c r="C15">
        <v>4.6217347492442433E-2</v>
      </c>
      <c r="D15">
        <f t="shared" si="0"/>
        <v>1.4133264863188895</v>
      </c>
      <c r="E15">
        <v>45.49</v>
      </c>
      <c r="F15">
        <v>4.43</v>
      </c>
      <c r="G15">
        <f t="shared" si="1"/>
        <v>0.64292221862646282</v>
      </c>
      <c r="H15">
        <f t="shared" si="2"/>
        <v>6.2610363343926806E-2</v>
      </c>
      <c r="I15">
        <f t="shared" si="3"/>
        <v>10.268623024830699</v>
      </c>
    </row>
    <row r="16" spans="1:9" x14ac:dyDescent="0.2">
      <c r="A16" t="s">
        <v>130</v>
      </c>
      <c r="B16">
        <v>30.74</v>
      </c>
      <c r="C16">
        <v>3.4354561101549094E-2</v>
      </c>
      <c r="D16">
        <f t="shared" si="0"/>
        <v>1.0560592082616191</v>
      </c>
      <c r="E16">
        <v>43.17</v>
      </c>
      <c r="F16">
        <v>3.38</v>
      </c>
      <c r="G16">
        <f t="shared" si="1"/>
        <v>0.45590076020654102</v>
      </c>
      <c r="H16">
        <f t="shared" si="2"/>
        <v>3.5694801239242721E-2</v>
      </c>
      <c r="I16">
        <f t="shared" si="3"/>
        <v>12.772189349112429</v>
      </c>
    </row>
    <row r="17" spans="1:11" x14ac:dyDescent="0.2">
      <c r="A17" t="s">
        <v>135</v>
      </c>
      <c r="B17">
        <v>30.64</v>
      </c>
      <c r="C17">
        <v>4.0990554613707979E-2</v>
      </c>
      <c r="D17">
        <f t="shared" si="0"/>
        <v>1.2559505933640125</v>
      </c>
      <c r="E17">
        <v>43.8</v>
      </c>
      <c r="F17">
        <v>2.87</v>
      </c>
      <c r="G17">
        <f t="shared" si="1"/>
        <v>0.55010635989343737</v>
      </c>
      <c r="H17">
        <f t="shared" si="2"/>
        <v>3.6045782029547155E-2</v>
      </c>
      <c r="I17">
        <f t="shared" si="3"/>
        <v>15.261324041811845</v>
      </c>
    </row>
    <row r="18" spans="1:11" x14ac:dyDescent="0.2">
      <c r="A18" t="s">
        <v>136</v>
      </c>
      <c r="B18">
        <v>30.03</v>
      </c>
      <c r="C18">
        <v>4.7902750195582905E-2</v>
      </c>
      <c r="D18">
        <f t="shared" si="0"/>
        <v>1.4385195883733546</v>
      </c>
      <c r="E18">
        <v>42.88</v>
      </c>
      <c r="F18">
        <v>2.61</v>
      </c>
      <c r="G18">
        <f t="shared" si="1"/>
        <v>0.61683719949449445</v>
      </c>
      <c r="H18">
        <f t="shared" si="2"/>
        <v>3.7545361256544549E-2</v>
      </c>
      <c r="I18">
        <f t="shared" si="3"/>
        <v>16.429118773946364</v>
      </c>
    </row>
    <row r="19" spans="1:11" x14ac:dyDescent="0.2">
      <c r="A19" t="s">
        <v>137</v>
      </c>
      <c r="B19">
        <v>30.8</v>
      </c>
      <c r="C19">
        <v>4.5203873377046365E-2</v>
      </c>
      <c r="D19">
        <f t="shared" si="0"/>
        <v>1.392279300013028</v>
      </c>
      <c r="E19">
        <v>43.46</v>
      </c>
      <c r="F19">
        <v>2.76</v>
      </c>
      <c r="G19">
        <f t="shared" si="1"/>
        <v>0.60508458378566199</v>
      </c>
      <c r="H19">
        <f t="shared" si="2"/>
        <v>3.842690868035957E-2</v>
      </c>
      <c r="I19">
        <f t="shared" si="3"/>
        <v>15.746376811594205</v>
      </c>
    </row>
    <row r="20" spans="1:11" x14ac:dyDescent="0.2">
      <c r="A20" t="s">
        <v>138</v>
      </c>
      <c r="B20">
        <v>30.25</v>
      </c>
      <c r="C20">
        <v>6.1418866867427729E-2</v>
      </c>
      <c r="D20">
        <f t="shared" si="0"/>
        <v>1.8579207227396888</v>
      </c>
      <c r="E20">
        <v>43.33</v>
      </c>
      <c r="F20">
        <v>3.24</v>
      </c>
      <c r="G20">
        <f t="shared" si="1"/>
        <v>0.80503704916310703</v>
      </c>
      <c r="H20">
        <f t="shared" si="2"/>
        <v>6.0196631416765928E-2</v>
      </c>
      <c r="I20">
        <f t="shared" si="3"/>
        <v>13.373456790123452</v>
      </c>
    </row>
    <row r="21" spans="1:11" x14ac:dyDescent="0.2">
      <c r="A21" t="s">
        <v>139</v>
      </c>
      <c r="B21">
        <v>30.82</v>
      </c>
      <c r="C21">
        <v>4.9735088019141983E-2</v>
      </c>
      <c r="D21">
        <f t="shared" si="0"/>
        <v>1.5328354127499559</v>
      </c>
      <c r="E21">
        <v>35.11</v>
      </c>
      <c r="F21">
        <v>2.44</v>
      </c>
      <c r="G21">
        <f t="shared" si="1"/>
        <v>0.53817851341650946</v>
      </c>
      <c r="H21">
        <f t="shared" si="2"/>
        <v>3.7401184071098922E-2</v>
      </c>
      <c r="I21">
        <f t="shared" si="3"/>
        <v>14.389344262295081</v>
      </c>
    </row>
    <row r="22" spans="1:11" x14ac:dyDescent="0.2">
      <c r="A22" t="s">
        <v>131</v>
      </c>
      <c r="B22">
        <v>30.23</v>
      </c>
      <c r="C22">
        <v>4.65652302564981E-2</v>
      </c>
      <c r="D22">
        <f t="shared" si="0"/>
        <v>1.4076669106539377</v>
      </c>
      <c r="E22">
        <v>40.35</v>
      </c>
      <c r="F22">
        <v>3.87</v>
      </c>
      <c r="G22">
        <f t="shared" si="1"/>
        <v>0.56799359844886388</v>
      </c>
      <c r="H22">
        <f t="shared" si="2"/>
        <v>5.4476709442307383E-2</v>
      </c>
      <c r="I22">
        <f t="shared" si="3"/>
        <v>10.426356589147288</v>
      </c>
    </row>
    <row r="23" spans="1:11" x14ac:dyDescent="0.2">
      <c r="A23" t="s">
        <v>132</v>
      </c>
      <c r="B23">
        <v>30.23</v>
      </c>
      <c r="C23">
        <v>6.7321148825065277E-2</v>
      </c>
      <c r="D23">
        <f t="shared" si="0"/>
        <v>2.0351183289817234</v>
      </c>
      <c r="E23">
        <v>37.17</v>
      </c>
      <c r="F23">
        <v>2.12</v>
      </c>
      <c r="G23">
        <f t="shared" si="1"/>
        <v>0.75645348288250669</v>
      </c>
      <c r="H23">
        <f t="shared" si="2"/>
        <v>4.3144508574412536E-2</v>
      </c>
      <c r="I23">
        <f t="shared" si="3"/>
        <v>17.533018867924529</v>
      </c>
      <c r="K23">
        <f>AVERAGE(I2:I31)</f>
        <v>13.042560692663066</v>
      </c>
    </row>
    <row r="24" spans="1:11" x14ac:dyDescent="0.2">
      <c r="A24" t="s">
        <v>116</v>
      </c>
      <c r="B24">
        <v>30.2</v>
      </c>
      <c r="C24">
        <v>6.4521977025891186E-2</v>
      </c>
      <c r="D24">
        <f t="shared" si="0"/>
        <v>1.9485637061819139</v>
      </c>
      <c r="E24">
        <v>39.47</v>
      </c>
      <c r="F24">
        <v>4.18</v>
      </c>
      <c r="G24">
        <f t="shared" si="1"/>
        <v>0.76909809483000136</v>
      </c>
      <c r="H24">
        <f t="shared" si="2"/>
        <v>8.1449962918403992E-2</v>
      </c>
      <c r="I24">
        <f t="shared" si="3"/>
        <v>9.4425837320574164</v>
      </c>
    </row>
    <row r="25" spans="1:11" x14ac:dyDescent="0.2">
      <c r="A25" t="s">
        <v>133</v>
      </c>
      <c r="B25">
        <v>20.75</v>
      </c>
      <c r="C25">
        <v>5.7294782319707527E-2</v>
      </c>
      <c r="D25">
        <f t="shared" si="0"/>
        <v>1.1888667331339311</v>
      </c>
      <c r="E25">
        <v>35.78</v>
      </c>
      <c r="F25">
        <v>3.62</v>
      </c>
      <c r="G25">
        <f t="shared" si="1"/>
        <v>0.42537651711532054</v>
      </c>
      <c r="H25">
        <f t="shared" si="2"/>
        <v>4.3036975739448306E-2</v>
      </c>
      <c r="I25">
        <f t="shared" si="3"/>
        <v>9.8839779005524857</v>
      </c>
      <c r="K25">
        <f>AVERAGE(D2:D31)</f>
        <v>1.4111386916149</v>
      </c>
    </row>
    <row r="26" spans="1:11" x14ac:dyDescent="0.2">
      <c r="A26" t="s">
        <v>134</v>
      </c>
      <c r="B26">
        <v>30.67</v>
      </c>
      <c r="C26">
        <v>6.0633780548403141E-2</v>
      </c>
      <c r="D26">
        <f t="shared" si="0"/>
        <v>1.8596380494195244</v>
      </c>
      <c r="E26">
        <v>40.72</v>
      </c>
      <c r="F26">
        <v>2.99</v>
      </c>
      <c r="G26">
        <f t="shared" si="1"/>
        <v>0.75724461372363039</v>
      </c>
      <c r="H26">
        <f t="shared" si="2"/>
        <v>5.5603177677643785E-2</v>
      </c>
      <c r="I26">
        <f t="shared" si="3"/>
        <v>13.618729096989966</v>
      </c>
    </row>
    <row r="27" spans="1:11" x14ac:dyDescent="0.2">
      <c r="A27" t="s">
        <v>140</v>
      </c>
      <c r="B27">
        <v>30.34</v>
      </c>
      <c r="C27">
        <v>3.3429891176700824E-2</v>
      </c>
      <c r="D27">
        <f t="shared" si="0"/>
        <v>1.0142628983011031</v>
      </c>
      <c r="E27">
        <v>42.73</v>
      </c>
      <c r="F27">
        <v>2.4700000000000002</v>
      </c>
      <c r="G27">
        <f t="shared" si="1"/>
        <v>0.43339453644406128</v>
      </c>
      <c r="H27">
        <f t="shared" si="2"/>
        <v>2.5052293588037247E-2</v>
      </c>
      <c r="I27">
        <f t="shared" si="3"/>
        <v>17.299595141700401</v>
      </c>
    </row>
    <row r="28" spans="1:11" x14ac:dyDescent="0.2">
      <c r="A28" t="s">
        <v>141</v>
      </c>
      <c r="B28">
        <v>30.33</v>
      </c>
      <c r="C28">
        <v>3.5127793554759958E-2</v>
      </c>
      <c r="D28">
        <f t="shared" si="0"/>
        <v>1.0654259785158695</v>
      </c>
      <c r="E28">
        <v>43.82</v>
      </c>
      <c r="F28">
        <v>2.95</v>
      </c>
      <c r="G28">
        <f t="shared" si="1"/>
        <v>0.46686966378565398</v>
      </c>
      <c r="H28">
        <f t="shared" si="2"/>
        <v>3.1430066366218153E-2</v>
      </c>
      <c r="I28">
        <f t="shared" si="3"/>
        <v>14.854237288135591</v>
      </c>
    </row>
    <row r="29" spans="1:11" x14ac:dyDescent="0.2">
      <c r="A29" t="s">
        <v>142</v>
      </c>
      <c r="B29">
        <v>30.59</v>
      </c>
      <c r="C29">
        <v>3.8226897069872277E-2</v>
      </c>
      <c r="D29">
        <f t="shared" si="0"/>
        <v>1.169360781367393</v>
      </c>
      <c r="E29">
        <v>43.51</v>
      </c>
      <c r="F29">
        <v>2.78</v>
      </c>
      <c r="G29">
        <f t="shared" si="1"/>
        <v>0.50878887597295264</v>
      </c>
      <c r="H29">
        <f t="shared" si="2"/>
        <v>3.2508229722013525E-2</v>
      </c>
      <c r="I29">
        <f t="shared" si="3"/>
        <v>15.651079136690646</v>
      </c>
    </row>
    <row r="30" spans="1:11" x14ac:dyDescent="0.2">
      <c r="A30" t="s">
        <v>143</v>
      </c>
      <c r="B30">
        <v>30.14</v>
      </c>
      <c r="C30">
        <v>3.7436491665923909E-2</v>
      </c>
      <c r="D30">
        <f t="shared" si="0"/>
        <v>1.1283358588109467</v>
      </c>
      <c r="E30">
        <v>44.18</v>
      </c>
      <c r="F30">
        <v>2.96</v>
      </c>
      <c r="G30">
        <f t="shared" si="1"/>
        <v>0.4984987824226762</v>
      </c>
      <c r="H30">
        <f t="shared" si="2"/>
        <v>3.3398741420804026E-2</v>
      </c>
      <c r="I30">
        <f t="shared" si="3"/>
        <v>14.925675675675672</v>
      </c>
    </row>
    <row r="31" spans="1:11" x14ac:dyDescent="0.2">
      <c r="A31" t="s">
        <v>144</v>
      </c>
      <c r="B31">
        <v>30.43</v>
      </c>
      <c r="C31">
        <v>3.2331859081897209E-2</v>
      </c>
      <c r="D31">
        <f t="shared" si="0"/>
        <v>0.98385847186213204</v>
      </c>
      <c r="E31">
        <v>44.61</v>
      </c>
      <c r="F31">
        <v>3.23</v>
      </c>
      <c r="G31">
        <f t="shared" si="1"/>
        <v>0.4388992642976971</v>
      </c>
      <c r="H31">
        <f t="shared" si="2"/>
        <v>3.1778628641146868E-2</v>
      </c>
      <c r="I31">
        <f t="shared" si="3"/>
        <v>13.811145510835912</v>
      </c>
    </row>
    <row r="34" spans="5:6" x14ac:dyDescent="0.2">
      <c r="E34">
        <f>AVERAGE(E2:E31)</f>
        <v>42.58</v>
      </c>
      <c r="F34">
        <f>AVERAGE(F2:F31)</f>
        <v>3.3633333333333337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Export</vt:lpstr>
      <vt:lpstr>calculate ug</vt:lpstr>
      <vt:lpstr>QC</vt:lpstr>
      <vt:lpstr>summary</vt:lpstr>
      <vt:lpstr>CN_applied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WQAL</dc:creator>
  <cp:lastModifiedBy>Alyssa Daigle</cp:lastModifiedBy>
  <dcterms:created xsi:type="dcterms:W3CDTF">2021-08-12T13:33:45Z</dcterms:created>
  <dcterms:modified xsi:type="dcterms:W3CDTF">2025-08-04T17:14:38Z</dcterms:modified>
</cp:coreProperties>
</file>